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andygant/Downloads/"/>
    </mc:Choice>
  </mc:AlternateContent>
  <xr:revisionPtr revIDLastSave="0" documentId="13_ncr:20001_{26C1B121-2937-9648-8CB7-598E919D84BC}" xr6:coauthVersionLast="47" xr6:coauthVersionMax="47" xr10:uidLastSave="{00000000-0000-0000-0000-000000000000}"/>
  <bookViews>
    <workbookView xWindow="47600" yWindow="4820" windowWidth="32260" windowHeight="21680" tabRatio="500" activeTab="5" xr2:uid="{00000000-000D-0000-FFFF-FFFF00000000}"/>
  </bookViews>
  <sheets>
    <sheet name="README" sheetId="1" r:id="rId1"/>
    <sheet name="Architecture" sheetId="2" r:id="rId2"/>
    <sheet name="Mesa_Firmware" sheetId="3" r:id="rId3"/>
    <sheet name="Photo_Checklist" sheetId="4" r:id="rId4"/>
    <sheet name="Motion_Axes" sheetId="5" r:id="rId5"/>
    <sheet name="IO_Master" sheetId="6" r:id="rId6"/>
    <sheet name="7i97T_Axis_Safety" sheetId="7" r:id="rId7"/>
    <sheet name="7i84_ATC_Utility" sheetId="8" r:id="rId8"/>
    <sheet name="Analog_Encoder" sheetId="9" r:id="rId9"/>
    <sheet name="24V_Terminals" sheetId="10" r:id="rId10"/>
    <sheet name="Parts_List" sheetId="11" r:id="rId11"/>
    <sheet name="Wiring_Notes" sheetId="12" r:id="rId12"/>
    <sheet name="Unknowns_Measure" sheetId="13" r:id="rId13"/>
    <sheet name="Source_Refs" sheetId="14" r:id="rId14"/>
    <sheet name="Git_Export" sheetId="15" r:id="rId15"/>
  </sheets>
  <definedNames>
    <definedName name="_xlnm._FilterDatabase" localSheetId="9" hidden="1">'24V_Terminals'!$B$5:$J$19</definedName>
    <definedName name="_xlnm._FilterDatabase" localSheetId="7" hidden="1">'7i84_ATC_Utility'!$B$5:$N$36</definedName>
    <definedName name="_xlnm._FilterDatabase" localSheetId="6" hidden="1">'7i97T_Axis_Safety'!$B$5:$N$49</definedName>
    <definedName name="_xlnm._FilterDatabase" localSheetId="8" hidden="1">Analog_Encoder!$B$5:$K$17</definedName>
    <definedName name="_xlnm._FilterDatabase" localSheetId="5" hidden="1">IO_Master!$B$5:$N$88</definedName>
    <definedName name="_xlnm._FilterDatabase" localSheetId="4" hidden="1">Motion_Axes!$B$5:$K$11</definedName>
    <definedName name="_xlnm._FilterDatabase" localSheetId="10" hidden="1">Parts_List!$B$5:$J$20</definedName>
    <definedName name="_xlnm._FilterDatabase" localSheetId="0" hidden="1">README!$B$5:$C$15</definedName>
    <definedName name="_xlnm._FilterDatabase" localSheetId="13" hidden="1">Source_Refs!$B$5:$F$14</definedName>
    <definedName name="_xlnm._FilterDatabase" localSheetId="12" hidden="1">Unknowns_Measure!$B$5:$I$17</definedName>
    <definedName name="_xlnm._FilterDatabase" localSheetId="11" hidden="1">Wiring_Notes!$B$5:$G$15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4" i="15" l="1"/>
  <c r="L84" i="15"/>
  <c r="K84" i="15"/>
  <c r="J84" i="15"/>
  <c r="I84" i="15"/>
  <c r="H84" i="15"/>
  <c r="G84" i="15"/>
  <c r="F84" i="15"/>
  <c r="E84" i="15"/>
  <c r="D84" i="15"/>
  <c r="C84" i="15"/>
  <c r="B84" i="15"/>
  <c r="A84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A83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A82" i="15"/>
  <c r="M81" i="15"/>
  <c r="L81" i="15"/>
  <c r="K81" i="15"/>
  <c r="J81" i="15"/>
  <c r="I81" i="15"/>
  <c r="H81" i="15"/>
  <c r="G81" i="15"/>
  <c r="F81" i="15"/>
  <c r="E81" i="15"/>
  <c r="D81" i="15"/>
  <c r="C81" i="15"/>
  <c r="B81" i="15"/>
  <c r="A81" i="15"/>
  <c r="M80" i="15"/>
  <c r="L80" i="15"/>
  <c r="K80" i="15"/>
  <c r="J80" i="15"/>
  <c r="I80" i="15"/>
  <c r="H80" i="15"/>
  <c r="G80" i="15"/>
  <c r="F80" i="15"/>
  <c r="E80" i="15"/>
  <c r="D80" i="15"/>
  <c r="C80" i="15"/>
  <c r="B80" i="15"/>
  <c r="A80" i="15"/>
  <c r="M79" i="15"/>
  <c r="L79" i="15"/>
  <c r="K79" i="15"/>
  <c r="J79" i="15"/>
  <c r="I79" i="15"/>
  <c r="H79" i="15"/>
  <c r="G79" i="15"/>
  <c r="F79" i="15"/>
  <c r="E79" i="15"/>
  <c r="D79" i="15"/>
  <c r="C79" i="15"/>
  <c r="B79" i="15"/>
  <c r="A79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A78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A77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A76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A75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A74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A73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A72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A71" i="15"/>
  <c r="M70" i="15"/>
  <c r="L70" i="15"/>
  <c r="K70" i="15"/>
  <c r="J70" i="15"/>
  <c r="I70" i="15"/>
  <c r="H70" i="15"/>
  <c r="G70" i="15"/>
  <c r="F70" i="15"/>
  <c r="E70" i="15"/>
  <c r="D70" i="15"/>
  <c r="C70" i="15"/>
  <c r="B70" i="15"/>
  <c r="A70" i="15"/>
  <c r="M69" i="15"/>
  <c r="L69" i="15"/>
  <c r="K69" i="15"/>
  <c r="J69" i="15"/>
  <c r="I69" i="15"/>
  <c r="H69" i="15"/>
  <c r="G69" i="15"/>
  <c r="F69" i="15"/>
  <c r="E69" i="15"/>
  <c r="D69" i="15"/>
  <c r="C69" i="15"/>
  <c r="B69" i="15"/>
  <c r="A69" i="15"/>
  <c r="M68" i="15"/>
  <c r="L68" i="15"/>
  <c r="K68" i="15"/>
  <c r="J68" i="15"/>
  <c r="I68" i="15"/>
  <c r="H68" i="15"/>
  <c r="G68" i="15"/>
  <c r="F68" i="15"/>
  <c r="E68" i="15"/>
  <c r="D68" i="15"/>
  <c r="C68" i="15"/>
  <c r="B68" i="15"/>
  <c r="A68" i="15"/>
  <c r="M67" i="15"/>
  <c r="L67" i="15"/>
  <c r="K67" i="15"/>
  <c r="J67" i="15"/>
  <c r="I67" i="15"/>
  <c r="H67" i="15"/>
  <c r="G67" i="15"/>
  <c r="F67" i="15"/>
  <c r="E67" i="15"/>
  <c r="D67" i="15"/>
  <c r="C67" i="15"/>
  <c r="B67" i="15"/>
  <c r="A67" i="15"/>
  <c r="M66" i="15"/>
  <c r="L66" i="15"/>
  <c r="K66" i="15"/>
  <c r="J66" i="15"/>
  <c r="I66" i="15"/>
  <c r="H66" i="15"/>
  <c r="G66" i="15"/>
  <c r="F66" i="15"/>
  <c r="E66" i="15"/>
  <c r="D66" i="15"/>
  <c r="C66" i="15"/>
  <c r="B66" i="15"/>
  <c r="A66" i="15"/>
  <c r="M65" i="15"/>
  <c r="L65" i="15"/>
  <c r="K65" i="15"/>
  <c r="J65" i="15"/>
  <c r="I65" i="15"/>
  <c r="H65" i="15"/>
  <c r="G65" i="15"/>
  <c r="F65" i="15"/>
  <c r="E65" i="15"/>
  <c r="D65" i="15"/>
  <c r="C65" i="15"/>
  <c r="B65" i="15"/>
  <c r="A65" i="15"/>
  <c r="M64" i="15"/>
  <c r="L64" i="15"/>
  <c r="K64" i="15"/>
  <c r="J64" i="15"/>
  <c r="I64" i="15"/>
  <c r="H64" i="15"/>
  <c r="G64" i="15"/>
  <c r="F64" i="15"/>
  <c r="E64" i="15"/>
  <c r="D64" i="15"/>
  <c r="C64" i="15"/>
  <c r="B64" i="15"/>
  <c r="A64" i="15"/>
  <c r="M63" i="15"/>
  <c r="L63" i="15"/>
  <c r="K63" i="15"/>
  <c r="J63" i="15"/>
  <c r="I63" i="15"/>
  <c r="H63" i="15"/>
  <c r="G63" i="15"/>
  <c r="F63" i="15"/>
  <c r="E63" i="15"/>
  <c r="D63" i="15"/>
  <c r="C63" i="15"/>
  <c r="B63" i="15"/>
  <c r="A63" i="15"/>
  <c r="M62" i="15"/>
  <c r="L62" i="15"/>
  <c r="K62" i="15"/>
  <c r="J62" i="15"/>
  <c r="I62" i="15"/>
  <c r="H62" i="15"/>
  <c r="G62" i="15"/>
  <c r="F62" i="15"/>
  <c r="E62" i="15"/>
  <c r="D62" i="15"/>
  <c r="C62" i="15"/>
  <c r="B62" i="15"/>
  <c r="A62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61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60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59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58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57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56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55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54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53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52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51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50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49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48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47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46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45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44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43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42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41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40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39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38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37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36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35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34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33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32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31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30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29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28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27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26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25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24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23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22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21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20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19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18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17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16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15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14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13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12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11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10" i="15"/>
  <c r="M9" i="15"/>
  <c r="L9" i="15"/>
  <c r="K9" i="15"/>
  <c r="J9" i="15"/>
  <c r="I9" i="15"/>
  <c r="H9" i="15"/>
  <c r="G9" i="15"/>
  <c r="F9" i="15"/>
  <c r="E9" i="15"/>
  <c r="D9" i="15"/>
  <c r="C9" i="15"/>
  <c r="B9" i="15"/>
  <c r="A9" i="15"/>
  <c r="M8" i="15"/>
  <c r="L8" i="15"/>
  <c r="K8" i="15"/>
  <c r="J8" i="15"/>
  <c r="I8" i="15"/>
  <c r="H8" i="15"/>
  <c r="G8" i="15"/>
  <c r="F8" i="15"/>
  <c r="E8" i="15"/>
  <c r="D8" i="15"/>
  <c r="C8" i="15"/>
  <c r="B8" i="15"/>
  <c r="A8" i="15"/>
  <c r="M7" i="15"/>
  <c r="L7" i="15"/>
  <c r="K7" i="15"/>
  <c r="J7" i="15"/>
  <c r="I7" i="15"/>
  <c r="H7" i="15"/>
  <c r="G7" i="15"/>
  <c r="F7" i="15"/>
  <c r="E7" i="15"/>
  <c r="D7" i="15"/>
  <c r="C7" i="15"/>
  <c r="B7" i="15"/>
  <c r="A7" i="15"/>
  <c r="M6" i="15"/>
  <c r="L6" i="15"/>
  <c r="K6" i="15"/>
  <c r="J6" i="15"/>
  <c r="I6" i="15"/>
  <c r="H6" i="15"/>
  <c r="G6" i="15"/>
  <c r="F6" i="15"/>
  <c r="E6" i="15"/>
  <c r="D6" i="15"/>
  <c r="C6" i="15"/>
  <c r="B6" i="15"/>
  <c r="A6" i="15"/>
  <c r="M5" i="15"/>
  <c r="L5" i="15"/>
  <c r="K5" i="15"/>
  <c r="J5" i="15"/>
  <c r="I5" i="15"/>
  <c r="H5" i="15"/>
  <c r="G5" i="15"/>
  <c r="F5" i="15"/>
  <c r="E5" i="15"/>
  <c r="D5" i="15"/>
  <c r="C5" i="15"/>
  <c r="B5" i="15"/>
  <c r="A5" i="15"/>
  <c r="M4" i="15"/>
  <c r="L4" i="15"/>
  <c r="K4" i="15"/>
  <c r="J4" i="15"/>
  <c r="I4" i="15"/>
  <c r="H4" i="15"/>
  <c r="G4" i="15"/>
  <c r="F4" i="15"/>
  <c r="E4" i="15"/>
  <c r="D4" i="15"/>
  <c r="C4" i="15"/>
  <c r="B4" i="15"/>
  <c r="A4" i="15"/>
  <c r="M3" i="15"/>
  <c r="L3" i="15"/>
  <c r="K3" i="15"/>
  <c r="J3" i="15"/>
  <c r="I3" i="15"/>
  <c r="H3" i="15"/>
  <c r="G3" i="15"/>
  <c r="F3" i="15"/>
  <c r="E3" i="15"/>
  <c r="D3" i="15"/>
  <c r="C3" i="15"/>
  <c r="B3" i="15"/>
  <c r="A3" i="15"/>
  <c r="M2" i="15"/>
  <c r="L2" i="15"/>
  <c r="K2" i="15"/>
  <c r="J2" i="15"/>
  <c r="I2" i="15"/>
  <c r="H2" i="15"/>
  <c r="G2" i="15"/>
  <c r="F2" i="15"/>
  <c r="E2" i="15"/>
  <c r="D2" i="15"/>
  <c r="C2" i="15"/>
  <c r="B2" i="15"/>
  <c r="A2" i="15"/>
  <c r="C23" i="1"/>
  <c r="C25" i="1"/>
  <c r="C29" i="1"/>
  <c r="C28" i="1"/>
  <c r="C27" i="1"/>
  <c r="C26" i="1"/>
  <c r="C24" i="1"/>
  <c r="C22" i="1"/>
</calcChain>
</file>

<file path=xl/sharedStrings.xml><?xml version="1.0" encoding="utf-8"?>
<sst xmlns="http://schemas.openxmlformats.org/spreadsheetml/2006/main" count="3143" uniqueCount="1392">
  <si>
    <t>Mazak VQC 20/40 Retrofit I/O Workbook</t>
  </si>
  <si>
    <t>Sheet</t>
  </si>
  <si>
    <t>Use</t>
  </si>
  <si>
    <t>Motion_Axes</t>
  </si>
  <si>
    <t>IO_Master</t>
  </si>
  <si>
    <t>7i84_ATC_Utility</t>
  </si>
  <si>
    <t>Bulk field I/O intended for a 7i84 near the green breakout PCB: ATC, magazine, hydraulic, coolant, air, utilities.</t>
  </si>
  <si>
    <t>Analog_Encoder</t>
  </si>
  <si>
    <t>24V_Terminals</t>
  </si>
  <si>
    <t>Nemic-Lambda HR-11F-24 and P24/G24 cabinet power/terminal notes from photo-based discussion.</t>
  </si>
  <si>
    <t>Parts_List</t>
  </si>
  <si>
    <t>Draft buy/planning list with quantities, priority, and verification dependencies.</t>
  </si>
  <si>
    <t>Wiring_Notes</t>
  </si>
  <si>
    <t>Cabinet work plan, landing strategy, shielding/grounding notes, and cut-over sequence.</t>
  </si>
  <si>
    <t>Unknowns_Measure</t>
  </si>
  <si>
    <t>Measurements and confirmations still required before final purchase, drilling, and wiring.</t>
  </si>
  <si>
    <t>Source_Refs</t>
  </si>
  <si>
    <t>Local source references and confidence notes used to build this workbook.</t>
  </si>
  <si>
    <t>Architecture</t>
  </si>
  <si>
    <t>Mesa_Firmware</t>
  </si>
  <si>
    <t>Firmware, bitfile, connector order, smart-serial, and actual HAL pin checklist for finalizing Mesa configuration.</t>
  </si>
  <si>
    <t>Photo_Checklist</t>
  </si>
  <si>
    <t>One-page cabinet photo checklist for Mesa ordering, firmware selection, and HAL pin finalization.</t>
  </si>
  <si>
    <t>Planning Counts</t>
  </si>
  <si>
    <t>Total IO_Master rows</t>
  </si>
  <si>
    <t>7i84 assigned rows</t>
  </si>
  <si>
    <t>Parts marked buy now</t>
  </si>
  <si>
    <t>Parts blocked until verification</t>
  </si>
  <si>
    <t>Selected Control Architecture</t>
  </si>
  <si>
    <t>Decision Area</t>
  </si>
  <si>
    <t>Selected Path</t>
  </si>
  <si>
    <t>Why</t>
  </si>
  <si>
    <t>Cabinet / Wiring Impact</t>
  </si>
  <si>
    <t>Workbook Impact</t>
  </si>
  <si>
    <t>Status</t>
  </si>
  <si>
    <t>Notes</t>
  </si>
  <si>
    <t>Control computer</t>
  </si>
  <si>
    <t>Tower PC mounted inside cabinet</t>
  </si>
  <si>
    <t>Best matches full cabinet retrofit and replaces Mazatrol rack space.</t>
  </si>
  <si>
    <t>Plan mounting tray, airflow, service clearance, SSD/power, and cable strain relief in former control bay.</t>
  </si>
  <si>
    <t>Parts_List, Wiring_Notes, Unknowns_Measure</t>
  </si>
  <si>
    <t>Selected</t>
  </si>
  <si>
    <t>Run LinuxCNC latency test on the actual tower before final commitment.</t>
  </si>
  <si>
    <t>Mesa host interface</t>
  </si>
  <si>
    <t>Axis and spindle interface</t>
  </si>
  <si>
    <t>Bulk field I/O</t>
  </si>
  <si>
    <t>7i84 near existing green breakout PCB</t>
  </si>
  <si>
    <t>Keeps ATC, hydraulic, coolant, air, and utility wiring localized to the field wiring area.</t>
  </si>
  <si>
    <t>Mount 7i84 close to terminal/breakout area; use interposing relays for coils/loads as required.</t>
  </si>
  <si>
    <t>7i84_ATC_Utility, Wiring_Notes</t>
  </si>
  <si>
    <t>Verify smart-serial connection path and field power.</t>
  </si>
  <si>
    <t>Expansion</t>
  </si>
  <si>
    <t>Optional</t>
  </si>
  <si>
    <t>Do not let optional expansion delay base motion/control bring-up.</t>
  </si>
  <si>
    <t>Pendant</t>
  </si>
  <si>
    <t>USB WHB04B-style pendant optional through LinuxCNC</t>
  </si>
  <si>
    <t>No Mesa I/O needed; useful for jogging and setup after base machine is safe.</t>
  </si>
  <si>
    <t>Use USB extension/receiver placement near cabinet door if installed.</t>
  </si>
  <si>
    <t>pendant_whb04b.hal</t>
  </si>
  <si>
    <t>Pendant E-stop must not replace hardware E-stop chain unless safety-rated and wired accordingly.</t>
  </si>
  <si>
    <t>Not primary</t>
  </si>
  <si>
    <t>Rejected</t>
  </si>
  <si>
    <t>Mesa Firmware and HAL Pin Checklist</t>
  </si>
  <si>
    <t>Fill this in before finalizing the HAL files. The goal is to make the Mesa firmware/bitfile, connector order, smart-serial devices, and LinuxCNC hm2 pin names match the actual hardware in the cabinet.</t>
  </si>
  <si>
    <t>Group</t>
  </si>
  <si>
    <t>Item to Find / Record</t>
  </si>
  <si>
    <t>Why It Matters</t>
  </si>
  <si>
    <t>Expected / Current Plan</t>
  </si>
  <si>
    <t>Your Value</t>
  </si>
  <si>
    <t>How to Get It</t>
  </si>
  <si>
    <t>Command / Place to Look</t>
  </si>
  <si>
    <t>Blocks</t>
  </si>
  <si>
    <t>Host card</t>
  </si>
  <si>
    <t>Exact Mesa host card model</t>
  </si>
  <si>
    <t>Firmware and HAL driver name depend on this.</t>
  </si>
  <si>
    <t>Read card label, invoice, Mesa order, or mesaflash detection.</t>
  </si>
  <si>
    <t>Firmware choice, HAL hm2 device name</t>
  </si>
  <si>
    <t>Required</t>
  </si>
  <si>
    <t>Tower PC in Mazak cabinet</t>
  </si>
  <si>
    <t>Basic hardware bring-up</t>
  </si>
  <si>
    <t>Run this before cabinet final wiring if possible.</t>
  </si>
  <si>
    <t>Daughtercard order</t>
  </si>
  <si>
    <t>Physical inspection / photos</t>
  </si>
  <si>
    <t>Firmware choice, expansion HAL</t>
  </si>
  <si>
    <t>Read silkscreen/label on card.</t>
  </si>
  <si>
    <t>Card label / Mesa invoice</t>
  </si>
  <si>
    <t>Output wiring and field I/O logic</t>
  </si>
  <si>
    <t>Important for relay/coil common wiring.</t>
  </si>
  <si>
    <t>Field I/O needs correct isolated power and common strategy.</t>
  </si>
  <si>
    <t>24 VDC P24/G24</t>
  </si>
  <si>
    <t>Measure field power terminals and confirm jumpers.</t>
  </si>
  <si>
    <t>I/O wiring</t>
  </si>
  <si>
    <t>Axis feedback</t>
  </si>
  <si>
    <t>Analog output scaling and enable behavior</t>
  </si>
  <si>
    <t>Drive command voltage and enable logic determine safe first motion.</t>
  </si>
  <si>
    <t>±10 V axis, spindle 0-10 V or ±10 V TBD</t>
  </si>
  <si>
    <t>Drive manuals + meter</t>
  </si>
  <si>
    <t>Axis/spindle motion</t>
  </si>
  <si>
    <t>Verify zero output before enabling drives.</t>
  </si>
  <si>
    <t>7i84</t>
  </si>
  <si>
    <t>7i84 connection path</t>
  </si>
  <si>
    <t>Determines smart-serial port and HAL pin names.</t>
  </si>
  <si>
    <t>Physical inspection</t>
  </si>
  <si>
    <t>7i84 HAL pin mapping</t>
  </si>
  <si>
    <t>Record exact port and cable route.</t>
  </si>
  <si>
    <t>7i84 variant</t>
  </si>
  <si>
    <t>Sourcing/sinking behavior and pin names may differ by variant.</t>
  </si>
  <si>
    <t>7i84 or 7i84D TBD</t>
  </si>
  <si>
    <t>Read card label and invoice.</t>
  </si>
  <si>
    <t>Field output wiring</t>
  </si>
  <si>
    <t>Important for solenoid/relay output strategy.</t>
  </si>
  <si>
    <t>7i84 field power and output load limits</t>
  </si>
  <si>
    <t>Protects Mesa outputs and decides interposing relays.</t>
  </si>
  <si>
    <t>24 V field I/O; relays likely for loads</t>
  </si>
  <si>
    <t>Measure field power and read 7i84 output ratings.</t>
  </si>
  <si>
    <t>Meter + card manual</t>
  </si>
  <si>
    <t>ATC/coolant/hydraulic outputs</t>
  </si>
  <si>
    <t>Measure each coil/contact load too.</t>
  </si>
  <si>
    <t>Optional / not required for base build</t>
  </si>
  <si>
    <t>Decide before ordering/flashing firmware.</t>
  </si>
  <si>
    <t>Parts decision</t>
  </si>
  <si>
    <t>Firmware choice</t>
  </si>
  <si>
    <t>Firmware</t>
  </si>
  <si>
    <t>Exact Mesa bitfile / firmware name</t>
  </si>
  <si>
    <t>HAL pins come from the loaded bitfile.</t>
  </si>
  <si>
    <t>Use Mesa firmware package/mesaflash list or Mesa support docs.</t>
  </si>
  <si>
    <t>Final HAL pin names</t>
  </si>
  <si>
    <t>Save a copy of the bitfile name and date.</t>
  </si>
  <si>
    <t>Read HMID after flashing</t>
  </si>
  <si>
    <t>This is the actual authority for available pins/functions.</t>
  </si>
  <si>
    <t>TBD</t>
  </si>
  <si>
    <t>Run readhmid and save output text.</t>
  </si>
  <si>
    <t>Share this output so HAL can be finalized.</t>
  </si>
  <si>
    <t>Firmware backup / restore plan</t>
  </si>
  <si>
    <t>Lets you recover if a bitfile is wrong.</t>
  </si>
  <si>
    <t>Save original/current if card not blank</t>
  </si>
  <si>
    <t>Read Mesa docs for backup if applicable; record current state.</t>
  </si>
  <si>
    <t>mesaflash documentation</t>
  </si>
  <si>
    <t>Safe firmware changes</t>
  </si>
  <si>
    <t>Recommended</t>
  </si>
  <si>
    <t>Do before flashing anything unknown.</t>
  </si>
  <si>
    <t>LinuxCNC</t>
  </si>
  <si>
    <t>hm2 HAL pin dump</t>
  </si>
  <si>
    <t>Final HAL must match the real hm2 pin names exactly.</t>
  </si>
  <si>
    <t>Final HAL files</t>
  </si>
  <si>
    <t>Save output to mesa_hal_pins.txt.</t>
  </si>
  <si>
    <t>Actual hm2 device name</t>
  </si>
  <si>
    <t>Check HAL pin dump.</t>
  </si>
  <si>
    <t>halcmd show pin hm2</t>
  </si>
  <si>
    <t>All HAL net lines</t>
  </si>
  <si>
    <t>Replace placeholders in all HAL files.</t>
  </si>
  <si>
    <t>sserial_port_0 config string</t>
  </si>
  <si>
    <t>Needed to make 7i84 / serial expansion devices appear.</t>
  </si>
  <si>
    <t>000000 placeholder</t>
  </si>
  <si>
    <t>Determine from Mesa firmware and readhmid; test with halrun.</t>
  </si>
  <si>
    <t>7i84 visibility</t>
  </si>
  <si>
    <t>Current skeleton uses placeholder only.</t>
  </si>
  <si>
    <t>N/A</t>
  </si>
  <si>
    <t>Done</t>
  </si>
  <si>
    <t>Files to save</t>
  </si>
  <si>
    <t>mesa_readhmid.txt</t>
  </si>
  <si>
    <t>Captures firmware functions and pinout.</t>
  </si>
  <si>
    <t>Save in Mazak folder</t>
  </si>
  <si>
    <t>Redirect mesaflash output to a text file.</t>
  </si>
  <si>
    <t>HAL finalization</t>
  </si>
  <si>
    <t>Put this in OneDrive Mazak folder.</t>
  </si>
  <si>
    <t>mesa_hal_pins.txt</t>
  </si>
  <si>
    <t>Captures actual LinuxCNC HAL pin names.</t>
  </si>
  <si>
    <t>Run halcmd/halrun and redirect show pin output.</t>
  </si>
  <si>
    <t>halcmd show pin hm2 &gt; mesa_hal_pins.txt</t>
  </si>
  <si>
    <t>This is what I need to replace placeholders.</t>
  </si>
  <si>
    <t>Cabinet Photo Checklist for Mesa Ordering</t>
  </si>
  <si>
    <t>Take wide shots first, then readable close-ups with wire numbers and terminal labels. This checklist targets the details needed to confirm Mesa card selection, firmware, I/O wiring, and HAL pin mapping.</t>
  </si>
  <si>
    <t>Priority</t>
  </si>
  <si>
    <t>Photo / Area</t>
  </si>
  <si>
    <t>What to Capture</t>
  </si>
  <si>
    <t>Suggested File Name</t>
  </si>
  <si>
    <t>High</t>
  </si>
  <si>
    <t>Whole electrical cabinet</t>
  </si>
  <si>
    <t>Left, center, and right bays with doors open</t>
  </si>
  <si>
    <t>Confirms available space, PC location, wire duct, and card mounting areas.</t>
  </si>
  <si>
    <t>cabinet_wide_left_center_right_YYYY-MM-DD</t>
  </si>
  <si>
    <t>Take pulled-back shots before close-ups.</t>
  </si>
  <si>
    <t>Former Mazatrol rack / PC area</t>
  </si>
  <si>
    <t>Rack space, mounting rails, power, airflow path, door clearance</t>
  </si>
  <si>
    <t>Confirms tower PC fit and service clearance.</t>
  </si>
  <si>
    <t>mazatrol_rack_pc_area_YYYY-MM-DD</t>
  </si>
  <si>
    <t>Measure width/depth/height later.</t>
  </si>
  <si>
    <t>X/Y/Z servo amplifiers</t>
  </si>
  <si>
    <t>Drive labels, model numbers, terminal strips, command terminals, enable/fault terminals</t>
  </si>
  <si>
    <t>Confirms analog ±10 V compatibility and drive enable/fault wiring.</t>
  </si>
  <si>
    <t>xyz_servo_drive_terminals_YYYY-MM-DD</t>
  </si>
  <si>
    <t>Take one photo per axis if possible.</t>
  </si>
  <si>
    <t>Do not unplug unless labeled and safe.</t>
  </si>
  <si>
    <t>Spindle FR-SX drive</t>
  </si>
  <si>
    <t>Model label, terminal strip, analog input, run/FWD/REV/enable/alarm terminals</t>
  </si>
  <si>
    <t>Confirms spindle speed command and digital control wiring.</t>
  </si>
  <si>
    <t>frsx_spindle_drive_terminals_YYYY-MM-DD</t>
  </si>
  <si>
    <t>Need readable terminal labels.</t>
  </si>
  <si>
    <t>24 VDC supply</t>
  </si>
  <si>
    <t>HR-11F-24 terminals +S, +, -, -S, TOG, CNT, FG, L, N and destination wires</t>
  </si>
  <si>
    <t>Confirms P24/G24 distribution and remote sense/control wiring.</t>
  </si>
  <si>
    <t>hr11f24_supply_terminals_YYYY-MM-DD</t>
  </si>
  <si>
    <t>Include pulled-back destination photo.</t>
  </si>
  <si>
    <t>P24/G24 terminal strips</t>
  </si>
  <si>
    <t>P24, G24, +24V, 0V jumpers, wire numbers, fuses</t>
  </si>
  <si>
    <t>Confirms Mesa field-power and I/O common strategy.</t>
  </si>
  <si>
    <t>p24_g24_terminal_strip_YYYY-MM-DD</t>
  </si>
  <si>
    <t>Capture every jumper and branch fuse.</t>
  </si>
  <si>
    <t>Green breakout PCB</t>
  </si>
  <si>
    <t>Full board, connector names, YM VQC-20-40/50 label, circular plugs, D-sub connectors</t>
  </si>
  <si>
    <t>Decides whether to reuse the board as a junction or bypass to terminal blocks.</t>
  </si>
  <si>
    <t>green_breakout_pcb_YYYY-MM-DD</t>
  </si>
  <si>
    <t>Take full-board and connector close-ups.</t>
  </si>
  <si>
    <t>Existing I/O terminal strips</t>
  </si>
  <si>
    <t>Labels such as INHRLS, DEC2, CH4, limits/home/ATC signals, wire numbers</t>
  </si>
  <si>
    <t>Maps real terminals to Mesa inputs/outputs.</t>
  </si>
  <si>
    <t>io_terminal_strips_YYYY-MM-DD</t>
  </si>
  <si>
    <t>Best if each terminal number is readable.</t>
  </si>
  <si>
    <t>E-stop / safety chain hardware</t>
  </si>
  <si>
    <t>E-stop relays, door interlock wiring, servo contactor, ready chain relays</t>
  </si>
  <si>
    <t>Determines what stays hardwired and what LinuxCNC only monitors.</t>
  </si>
  <si>
    <t>estop_safety_chain_relays_YYYY-MM-DD</t>
  </si>
  <si>
    <t>Do not alter before tracing.</t>
  </si>
  <si>
    <t>Medium</t>
  </si>
  <si>
    <t>Tool clamp / drawbar valves</t>
  </si>
  <si>
    <t>Solenoid labels, coil voltage, terminal numbers, PRS-8/PRS-9 wiring</t>
  </si>
  <si>
    <t>Confirms ATC tool clamp/unclamp I/O.</t>
  </si>
  <si>
    <t>tool_clamp_valves_prs8_prs9_YYYY-MM-DD</t>
  </si>
  <si>
    <t>Need coil voltage/current later.</t>
  </si>
  <si>
    <t>Spindle gear shift valves</t>
  </si>
  <si>
    <t>SOL-12/SOL-13 or related labels, PRS-10/PRS-12 wiring</t>
  </si>
  <si>
    <t>Confirms high/low gear logic and safe spindle interlocks.</t>
  </si>
  <si>
    <t>gear_shift_valves_prs10_prs12_YYYY-MM-DD</t>
  </si>
  <si>
    <t>Magazine hydraulics</t>
  </si>
  <si>
    <t>SOL-8A/SOL-8B, PRS-13, PRS-21 through PRS-25, cover switches/solenoids</t>
  </si>
  <si>
    <t>Confirms magazine rotation and tool-position bit logic.</t>
  </si>
  <si>
    <t>magazine_hydraulics_prs21_25_YYYY-MM-DD</t>
  </si>
  <si>
    <t>Capture tool position prox labels.</t>
  </si>
  <si>
    <t>Coolant / air / utility outputs</t>
  </si>
  <si>
    <t>Coolant contactors, air blast valves, tap coolant, work light, relays</t>
  </si>
  <si>
    <t>Determines direct 7i84 output vs interposing relay needs.</t>
  </si>
  <si>
    <t>coolant_air_utility_relays_YYYY-MM-DD</t>
  </si>
  <si>
    <t>Cabinet grounding / shield bars</t>
  </si>
  <si>
    <t>Prevents noise and ground-loop problems.</t>
  </si>
  <si>
    <t>ground_shield_common_bars_YYYY-MM-DD</t>
  </si>
  <si>
    <t>Capture wire colors and shield drains.</t>
  </si>
  <si>
    <t>Available DIN rail / panel space</t>
  </si>
  <si>
    <t>Drives DIN rail, duct, terminal, and mounting parts list.</t>
  </si>
  <si>
    <t>din_rail_panel_space_YYYY-MM-DD</t>
  </si>
  <si>
    <t>Include ruler/tape if possible.</t>
  </si>
  <si>
    <t>Low</t>
  </si>
  <si>
    <t>Operator panel wiring</t>
  </si>
  <si>
    <t>Cycle start, feed hold, single block, overrides, lamps</t>
  </si>
  <si>
    <t>Helps decide which original panel controls to keep.</t>
  </si>
  <si>
    <t>operator_panel_wiring_YYYY-MM-DD</t>
  </si>
  <si>
    <t>Cabinet schematic pockets / door labels</t>
  </si>
  <si>
    <t>Inside-door legends, terminal charts, paper schematics</t>
  </si>
  <si>
    <t>May save tracing time.</t>
  </si>
  <si>
    <t>cabinet_schematic_labels_YYYY-MM-DD</t>
  </si>
  <si>
    <t>Slow video sweep</t>
  </si>
  <si>
    <t>Start wide, move left to right, pause at each drive/terminal/relay/breakout board</t>
  </si>
  <si>
    <t>Provides context between close-ups and device locations.</t>
  </si>
  <si>
    <t>cabinet_video_sweep_YYYY-MM-DD</t>
  </si>
  <si>
    <t>Narrate what each section is if possible.</t>
  </si>
  <si>
    <t>Motion and Axis Requirements</t>
  </si>
  <si>
    <t>All motion requirements extracted from the available Mazak/Mesa retrofit notes. The actual drive command polarity, encoder type, and scale must be measured before live motion.</t>
  </si>
  <si>
    <t>Axis / Device</t>
  </si>
  <si>
    <t>Control Type</t>
  </si>
  <si>
    <t>Command Channel</t>
  </si>
  <si>
    <t>Feedback Channel</t>
  </si>
  <si>
    <t>Existing Hardware</t>
  </si>
  <si>
    <t>LinuxCNC Requirement</t>
  </si>
  <si>
    <t>Interlocks / Dependencies</t>
  </si>
  <si>
    <t>Bring-up Test</t>
  </si>
  <si>
    <t>X axis</t>
  </si>
  <si>
    <t>Analog servo</t>
  </si>
  <si>
    <t>Mitsubishi DC permanent-magnet servo / drive</t>
  </si>
  <si>
    <t>X drive enable, X drive fault, estop chain, servo power contactor</t>
  </si>
  <si>
    <t>Inferred / likely</t>
  </si>
  <si>
    <t>Y axis</t>
  </si>
  <si>
    <t>Mitsubishi DC servo / drive</t>
  </si>
  <si>
    <t>Y drive enable, Y drive fault, estop chain</t>
  </si>
  <si>
    <t>Z axis</t>
  </si>
  <si>
    <t>Z drive enable, Z drive fault, estop chain, hydraulic/toolchanger safe state</t>
  </si>
  <si>
    <t>Support head/tooling as needed; verify brake/counterbalance behavior before enabling motion.</t>
  </si>
  <si>
    <t>Confirm Z brake or hydraulic dependencies if present.</t>
  </si>
  <si>
    <t>Spindle</t>
  </si>
  <si>
    <t>Analog speed + digital run/dir/enable</t>
  </si>
  <si>
    <t>Mitsubishi FR-SX spindle controller and AC spindle motor</t>
  </si>
  <si>
    <t>FR-SX alarm, zero-speed/at-speed, gear high/low confirmation, orient OK</t>
  </si>
  <si>
    <t>Command low RPM with belt/gear safe; verify analog scaling, direction, zero-speed, at-speed.</t>
  </si>
  <si>
    <t>Verify in cabinet</t>
  </si>
  <si>
    <t>FR-SX terminal mode and analog scaling must be checked against drive manual and measured.</t>
  </si>
  <si>
    <t>Magazine / ATC</t>
  </si>
  <si>
    <t>Discrete sequence</t>
  </si>
  <si>
    <t>7i84 inputs PRS-8/9/13/21-25 plus ATC zones</t>
  </si>
  <si>
    <t>Hydraulic magazine/tool clamp system</t>
  </si>
  <si>
    <t>HAL/ClassicLadder or component sequence for clamp/unclamp, magazine CW/CCW, tool code decode, safe positions.</t>
  </si>
  <si>
    <t>Tool clamped/unclamped, mag in-position, Y/Z ATC zones, spindle orient, hydraulic pressure OK</t>
  </si>
  <si>
    <t>Dry-run with spindle stopped and tool removed; verify every prox and solenoid one at a time.</t>
  </si>
  <si>
    <t>Confirmed from notes</t>
  </si>
  <si>
    <t>Exact magazine tool-bit count and cover functions must be verified.</t>
  </si>
  <si>
    <t>USB HAL input</t>
  </si>
  <si>
    <t>LinuxCNC USB driver</t>
  </si>
  <si>
    <t>Optional WHB04B-style wireless USB pendant</t>
  </si>
  <si>
    <t>Map jog, feed/spindle override, start/stop/home to HAL nets.</t>
  </si>
  <si>
    <t>Do not bypass hardware estop; pendant estop should only feed logic unless proven safety-rated.</t>
  </si>
  <si>
    <t>Test jog increments with machine disabled first, then low-speed enabled jog.</t>
  </si>
  <si>
    <t>No Mesa card required; use USB extension for receiver placement.</t>
  </si>
  <si>
    <t>Master I/O and Control Signal List</t>
  </si>
  <si>
    <t>This is the working master map. Filter by Mesa Card, Direction, Subsystem, or Status. Update connector/bit values after selecting exact Mesa cards and tracing the cabinet.</t>
  </si>
  <si>
    <t>Machine Signal Name</t>
  </si>
  <si>
    <t>Mazak Label / Drawing Ref</t>
  </si>
  <si>
    <t>Subsystem</t>
  </si>
  <si>
    <t>Function</t>
  </si>
  <si>
    <t>Normal State / Type</t>
  </si>
  <si>
    <t>Direction</t>
  </si>
  <si>
    <t>Mesa Card</t>
  </si>
  <si>
    <t>Mesa Conn</t>
  </si>
  <si>
    <t>Mesa Bit / Channel</t>
  </si>
  <si>
    <t>LinuxCNC HAL Net</t>
  </si>
  <si>
    <t>Cabinet Landing / Origin</t>
  </si>
  <si>
    <t>X_AXIS_CMD</t>
  </si>
  <si>
    <t>Motion</t>
  </si>
  <si>
    <t>X servo analog command</t>
  </si>
  <si>
    <t>±10 V</t>
  </si>
  <si>
    <t>ANALOG OUT</t>
  </si>
  <si>
    <t>Analog TB</t>
  </si>
  <si>
    <t>AO0</t>
  </si>
  <si>
    <t>x-vel-cmd</t>
  </si>
  <si>
    <t>X servo amp command input</t>
  </si>
  <si>
    <t>Confirm velocity/torque input terminals and polarity.</t>
  </si>
  <si>
    <t>Y_AXIS_CMD</t>
  </si>
  <si>
    <t>Y servo analog command</t>
  </si>
  <si>
    <t>AO1</t>
  </si>
  <si>
    <t>y-vel-cmd</t>
  </si>
  <si>
    <t>Y servo amp command input</t>
  </si>
  <si>
    <t>Z_AXIS_CMD</t>
  </si>
  <si>
    <t>Z servo analog command</t>
  </si>
  <si>
    <t>AO2</t>
  </si>
  <si>
    <t>z-vel-cmd</t>
  </si>
  <si>
    <t>Z servo amp command input</t>
  </si>
  <si>
    <t>SPINDLE_SPEED_CMD</t>
  </si>
  <si>
    <t>FR-SX speed reference</t>
  </si>
  <si>
    <t>0-10 V or ±10 V</t>
  </si>
  <si>
    <t>AO3</t>
  </si>
  <si>
    <t>spindle-speed-cmd</t>
  </si>
  <si>
    <t>FR-SX analog speed input</t>
  </si>
  <si>
    <t>Check FR-SX scaling and isolated/common reference.</t>
  </si>
  <si>
    <t>x-pos-fb</t>
  </si>
  <si>
    <t>y-pos-fb</t>
  </si>
  <si>
    <t>z-pos-fb</t>
  </si>
  <si>
    <t>spindle-pos-fb</t>
  </si>
  <si>
    <t>X_HOME</t>
  </si>
  <si>
    <t>LS-42</t>
  </si>
  <si>
    <t>Axis safety</t>
  </si>
  <si>
    <t>X axis zero return switch</t>
  </si>
  <si>
    <t>NO, active-high assumed</t>
  </si>
  <si>
    <t>IN</t>
  </si>
  <si>
    <t>TB5</t>
  </si>
  <si>
    <t>IN0</t>
  </si>
  <si>
    <t>home-x</t>
  </si>
  <si>
    <t>Existing field switch / Mazak I/O</t>
  </si>
  <si>
    <t>Normal state must be verified.</t>
  </si>
  <si>
    <t>X_LIMIT_PLUS</t>
  </si>
  <si>
    <t>OT+X</t>
  </si>
  <si>
    <t>X positive overtravel limit</t>
  </si>
  <si>
    <t>NC, active-low assumed</t>
  </si>
  <si>
    <t>IN1</t>
  </si>
  <si>
    <t>limit-x-plus</t>
  </si>
  <si>
    <t>Existing OT chain</t>
  </si>
  <si>
    <t>May be chained rather than separate.</t>
  </si>
  <si>
    <t>X_LIMIT_MINUS</t>
  </si>
  <si>
    <t>OT-X</t>
  </si>
  <si>
    <t>X negative overtravel limit</t>
  </si>
  <si>
    <t>IN2</t>
  </si>
  <si>
    <t>limit-x-minus</t>
  </si>
  <si>
    <t>Y_HOME</t>
  </si>
  <si>
    <t>LS-52</t>
  </si>
  <si>
    <t>Y axis zero return switch</t>
  </si>
  <si>
    <t>NO assumed</t>
  </si>
  <si>
    <t>IN3</t>
  </si>
  <si>
    <t>home-y</t>
  </si>
  <si>
    <t>Existing field switch</t>
  </si>
  <si>
    <t>Y_LIMIT_PLUS</t>
  </si>
  <si>
    <t>OT+Y</t>
  </si>
  <si>
    <t>Y positive overtravel limit</t>
  </si>
  <si>
    <t>NC assumed</t>
  </si>
  <si>
    <t>IN4</t>
  </si>
  <si>
    <t>limit-y-plus</t>
  </si>
  <si>
    <t>Y_LIMIT_MINUS</t>
  </si>
  <si>
    <t>OT-Y</t>
  </si>
  <si>
    <t>Y negative overtravel limit</t>
  </si>
  <si>
    <t>IN5</t>
  </si>
  <si>
    <t>limit-y-minus</t>
  </si>
  <si>
    <t>Z_HOME</t>
  </si>
  <si>
    <t>LS-62</t>
  </si>
  <si>
    <t>Z axis zero return switch</t>
  </si>
  <si>
    <t>IN6</t>
  </si>
  <si>
    <t>home-z</t>
  </si>
  <si>
    <t>Z_LIMIT_PLUS</t>
  </si>
  <si>
    <t>OT+Z</t>
  </si>
  <si>
    <t>Z positive overtravel limit</t>
  </si>
  <si>
    <t>IN7</t>
  </si>
  <si>
    <t>limit-z-plus</t>
  </si>
  <si>
    <t>Z_LIMIT_MINUS</t>
  </si>
  <si>
    <t>OT-Z</t>
  </si>
  <si>
    <t>Z negative overtravel limit</t>
  </si>
  <si>
    <t>IN8</t>
  </si>
  <si>
    <t>limit-z-minus</t>
  </si>
  <si>
    <t>X_DRIVE_FAULT</t>
  </si>
  <si>
    <t>Drive safety</t>
  </si>
  <si>
    <t>X servo drive alarm/fault</t>
  </si>
  <si>
    <t>Active-low assumed</t>
  </si>
  <si>
    <t>IN9</t>
  </si>
  <si>
    <t>x-drive-fault</t>
  </si>
  <si>
    <t>X Mitsubishi servo amp</t>
  </si>
  <si>
    <t>Find alarm contact logic at drive terminal.</t>
  </si>
  <si>
    <t>Y_DRIVE_FAULT</t>
  </si>
  <si>
    <t>Y servo drive alarm/fault</t>
  </si>
  <si>
    <t>IN10</t>
  </si>
  <si>
    <t>y-drive-fault</t>
  </si>
  <si>
    <t>Y Mitsubishi servo amp</t>
  </si>
  <si>
    <t>Z_DRIVE_FAULT</t>
  </si>
  <si>
    <t>Z servo drive alarm/fault</t>
  </si>
  <si>
    <t>IN11</t>
  </si>
  <si>
    <t>z-drive-fault</t>
  </si>
  <si>
    <t>Z Mitsubishi servo amp</t>
  </si>
  <si>
    <t>SPINDLE_FAULT</t>
  </si>
  <si>
    <t>Spindle safety</t>
  </si>
  <si>
    <t>FR-SX alarm/fault</t>
  </si>
  <si>
    <t>IN12</t>
  </si>
  <si>
    <t>spindle-fault</t>
  </si>
  <si>
    <t>FR-SX spindle controller</t>
  </si>
  <si>
    <t>ESTOP_CHAIN</t>
  </si>
  <si>
    <t>Safety</t>
  </si>
  <si>
    <t>External estop chain input</t>
  </si>
  <si>
    <t>NC, opens on fault</t>
  </si>
  <si>
    <t>IN13</t>
  </si>
  <si>
    <t>estop-ext</t>
  </si>
  <si>
    <t>Existing safety chain contact</t>
  </si>
  <si>
    <t>Consider safety relay; do not rely on software alone for safety.</t>
  </si>
  <si>
    <t>DOOR_CLOSED</t>
  </si>
  <si>
    <t>Door interlock</t>
  </si>
  <si>
    <t>IN14</t>
  </si>
  <si>
    <t>door-closed</t>
  </si>
  <si>
    <t>Door switch / interlock chain</t>
  </si>
  <si>
    <t>LUBE_OK</t>
  </si>
  <si>
    <t>Utility safety</t>
  </si>
  <si>
    <t>Central lube pressure/float OK</t>
  </si>
  <si>
    <t>IN15</t>
  </si>
  <si>
    <t>lube-ok</t>
  </si>
  <si>
    <t>Central lubrication unit</t>
  </si>
  <si>
    <t>HYD_PRESS_OK</t>
  </si>
  <si>
    <t>Hydraulic safety</t>
  </si>
  <si>
    <t>Hydraulic pressure OK</t>
  </si>
  <si>
    <t>IN16</t>
  </si>
  <si>
    <t>hydraulic-ok</t>
  </si>
  <si>
    <t>Hydraulic pressure switch</t>
  </si>
  <si>
    <t>CYCLE_START_PB</t>
  </si>
  <si>
    <t>Panel</t>
  </si>
  <si>
    <t>Cycle start pushbutton</t>
  </si>
  <si>
    <t>NO momentary</t>
  </si>
  <si>
    <t>IN17</t>
  </si>
  <si>
    <t>cycle-start-pb</t>
  </si>
  <si>
    <t>Operator panel</t>
  </si>
  <si>
    <t>Can also use LinuxCNC UI/pendant.</t>
  </si>
  <si>
    <t>FEED_HOLD_PB</t>
  </si>
  <si>
    <t>Feed hold pushbutton</t>
  </si>
  <si>
    <t>IN18</t>
  </si>
  <si>
    <t>feed-hold-pb</t>
  </si>
  <si>
    <t>SINGLE_BLOCK_SW</t>
  </si>
  <si>
    <t>Single block switch</t>
  </si>
  <si>
    <t>IN19</t>
  </si>
  <si>
    <t>single-block</t>
  </si>
  <si>
    <t>SPINDLE_ZERO_SPEED</t>
  </si>
  <si>
    <t>Spindle zero speed / at speed feedback</t>
  </si>
  <si>
    <t>Spare IN</t>
  </si>
  <si>
    <t>spindle-zero-speed</t>
  </si>
  <si>
    <t>FR-SX or spindle pickup logic</t>
  </si>
  <si>
    <t>Required for safe gear shift/toolchange if available.</t>
  </si>
  <si>
    <t>SERVO_READY</t>
  </si>
  <si>
    <t>Servo ready feedback</t>
  </si>
  <si>
    <t>servo-ready</t>
  </si>
  <si>
    <t>Servo drives / ready relay</t>
  </si>
  <si>
    <t>Useful before enabling motion.</t>
  </si>
  <si>
    <t>CABINET_TEMP_FAN_OK</t>
  </si>
  <si>
    <t>Cabinet</t>
  </si>
  <si>
    <t>Overtemp or fan fail input</t>
  </si>
  <si>
    <t>cabinet-ok</t>
  </si>
  <si>
    <t>Cabinet sensor if present</t>
  </si>
  <si>
    <t>RAPID_OVERRIDE</t>
  </si>
  <si>
    <t>Rapid override discrete contacts</t>
  </si>
  <si>
    <t>rapid-override</t>
  </si>
  <si>
    <t>If analog/pot, handle differently.</t>
  </si>
  <si>
    <t>X_DRIVE_ENABLE</t>
  </si>
  <si>
    <t>Drive control</t>
  </si>
  <si>
    <t>Enable X servo amp</t>
  </si>
  <si>
    <t>Active-high assumed</t>
  </si>
  <si>
    <t>OUT</t>
  </si>
  <si>
    <t>TB6</t>
  </si>
  <si>
    <t>OUT0</t>
  </si>
  <si>
    <t>x-enable</t>
  </si>
  <si>
    <t>X servo amp enable terminal</t>
  </si>
  <si>
    <t>Interlock through estop/ready.</t>
  </si>
  <si>
    <t>Y_DRIVE_ENABLE</t>
  </si>
  <si>
    <t>Enable Y servo amp</t>
  </si>
  <si>
    <t>OUT1</t>
  </si>
  <si>
    <t>y-enable</t>
  </si>
  <si>
    <t>Y servo amp enable terminal</t>
  </si>
  <si>
    <t>Z_DRIVE_ENABLE</t>
  </si>
  <si>
    <t>Enable Z servo amp</t>
  </si>
  <si>
    <t>OUT2</t>
  </si>
  <si>
    <t>z-enable</t>
  </si>
  <si>
    <t>Z servo amp enable terminal</t>
  </si>
  <si>
    <t>SPINDLE_ENABLE</t>
  </si>
  <si>
    <t>Spindle control</t>
  </si>
  <si>
    <t>FR-SX enable/run permission</t>
  </si>
  <si>
    <t>OUT3</t>
  </si>
  <si>
    <t>spindle-enable</t>
  </si>
  <si>
    <t>FR-SX terminal</t>
  </si>
  <si>
    <t>SPINDLE_DIR</t>
  </si>
  <si>
    <t>Spindle direction select</t>
  </si>
  <si>
    <t>High=FWD assumed</t>
  </si>
  <si>
    <t>OUT4</t>
  </si>
  <si>
    <t>spindle-dir</t>
  </si>
  <si>
    <t>FR-SX FWD/REV terminals</t>
  </si>
  <si>
    <t>May need separate FWD and REV outputs.</t>
  </si>
  <si>
    <t>SERVO_ON_CONTACTOR</t>
  </si>
  <si>
    <t>Safety/control</t>
  </si>
  <si>
    <t>Main servo power contactor coil</t>
  </si>
  <si>
    <t>OUT5</t>
  </si>
  <si>
    <t>main-servo-on</t>
  </si>
  <si>
    <t>Original servo-on/contact chain</t>
  </si>
  <si>
    <t>Only if LinuxCNC will control contactor.</t>
  </si>
  <si>
    <t>READY_LAMP</t>
  </si>
  <si>
    <t>READY indicator lamp</t>
  </si>
  <si>
    <t>OUT6</t>
  </si>
  <si>
    <t>lamp-ready</t>
  </si>
  <si>
    <t>Operator panel lamp</t>
  </si>
  <si>
    <t>ALARM_LAMP</t>
  </si>
  <si>
    <t>MACHINE FAILURE / alarm lamp</t>
  </si>
  <si>
    <t>OUT7</t>
  </si>
  <si>
    <t>lamp-alarm</t>
  </si>
  <si>
    <t>SPINDLE_ORIENT_CMD</t>
  </si>
  <si>
    <t>Spindle / ATC</t>
  </si>
  <si>
    <t>Spindle orient command</t>
  </si>
  <si>
    <t>Spare OUT</t>
  </si>
  <si>
    <t>spindle-orient-cmd</t>
  </si>
  <si>
    <t>FR-SX orient input or hydraulic orient circuit</t>
  </si>
  <si>
    <t>Needed for ATC depending on original design.</t>
  </si>
  <si>
    <t>CONTROL_READY_CHAIN</t>
  </si>
  <si>
    <t>Control ready output into original Mazak ready chain</t>
  </si>
  <si>
    <t>control-ready</t>
  </si>
  <si>
    <t>Original ready relay chain</t>
  </si>
  <si>
    <t>HYD_PUMP_CONTACTOR</t>
  </si>
  <si>
    <t>Hydraulic</t>
  </si>
  <si>
    <t>Main hydraulic pump contactor</t>
  </si>
  <si>
    <t>hyd-pump-on</t>
  </si>
  <si>
    <t>Hydraulic pump contactor coil</t>
  </si>
  <si>
    <t>Could stay hardwired/legacy.</t>
  </si>
  <si>
    <t>LUBE_PUMP</t>
  </si>
  <si>
    <t>Utility</t>
  </si>
  <si>
    <t>Main lube pump if switched</t>
  </si>
  <si>
    <t>lube-pump-on</t>
  </si>
  <si>
    <t>Lube pump circuit</t>
  </si>
  <si>
    <t>Only if not continuous/autonomous.</t>
  </si>
  <si>
    <t>TOOL_CLAMPED</t>
  </si>
  <si>
    <t>PRS-9</t>
  </si>
  <si>
    <t>ATC/tool clamp</t>
  </si>
  <si>
    <t>Tool clamped sensor</t>
  </si>
  <si>
    <t>TB1</t>
  </si>
  <si>
    <t>tool-clamped</t>
  </si>
  <si>
    <t>Tool clamp prox</t>
  </si>
  <si>
    <t>TOOL_UNCLAMPED</t>
  </si>
  <si>
    <t>PRS-8</t>
  </si>
  <si>
    <t>Tool unclamped sensor</t>
  </si>
  <si>
    <t>tool-unclamped</t>
  </si>
  <si>
    <t>Tool unclamp prox</t>
  </si>
  <si>
    <t>ATC_ZONE_Y</t>
  </si>
  <si>
    <t>ATC interlock</t>
  </si>
  <si>
    <t>Y axis in tool-change zone</t>
  </si>
  <si>
    <t>atc-y-zone</t>
  </si>
  <si>
    <t>Axis-zone prox if present</t>
  </si>
  <si>
    <t>May be software position only or separate switch.</t>
  </si>
  <si>
    <t>ATC_ZONE_Z</t>
  </si>
  <si>
    <t>Z axis in tool-change zone</t>
  </si>
  <si>
    <t>atc-z-zone</t>
  </si>
  <si>
    <t>MAG_IN_POSITION</t>
  </si>
  <si>
    <t>PRS-13</t>
  </si>
  <si>
    <t>Magazine</t>
  </si>
  <si>
    <t>Magazine indexed/in-position</t>
  </si>
  <si>
    <t>mag-in-pos</t>
  </si>
  <si>
    <t>Magazine in-position prox</t>
  </si>
  <si>
    <t>TOOL_BIT0</t>
  </si>
  <si>
    <t>PRS-21</t>
  </si>
  <si>
    <t>Magazine tool code bit 0</t>
  </si>
  <si>
    <t>tool-code-0</t>
  </si>
  <si>
    <t>Tool position prox</t>
  </si>
  <si>
    <t>TOOL_BIT1</t>
  </si>
  <si>
    <t>PRS-22</t>
  </si>
  <si>
    <t>Magazine tool code bit 1</t>
  </si>
  <si>
    <t>tool-code-1</t>
  </si>
  <si>
    <t>TOOL_BIT2</t>
  </si>
  <si>
    <t>PRS-23</t>
  </si>
  <si>
    <t>Magazine tool code bit 2</t>
  </si>
  <si>
    <t>tool-code-2</t>
  </si>
  <si>
    <t>TOOL_BIT3</t>
  </si>
  <si>
    <t>PRS-24</t>
  </si>
  <si>
    <t>Magazine tool code bit 3</t>
  </si>
  <si>
    <t>tool-code-3</t>
  </si>
  <si>
    <t>TOOL_BIT4</t>
  </si>
  <si>
    <t>PRS-25</t>
  </si>
  <si>
    <t>Magazine tool code bit 4 if used</t>
  </si>
  <si>
    <t>tool-code-4</t>
  </si>
  <si>
    <t>Depends on magazine tool count.</t>
  </si>
  <si>
    <t>COOLANT_LOW</t>
  </si>
  <si>
    <t>Coolant</t>
  </si>
  <si>
    <t>Coolant tank low level</t>
  </si>
  <si>
    <t>coolant-low</t>
  </si>
  <si>
    <t>Coolant tank switch if present</t>
  </si>
  <si>
    <t>AIR_PRESS_OK</t>
  </si>
  <si>
    <t>Pneumatic</t>
  </si>
  <si>
    <t>Shop air pressure OK</t>
  </si>
  <si>
    <t>air-ok</t>
  </si>
  <si>
    <t>Air pressure switch</t>
  </si>
  <si>
    <t>Needed if air blast/tool functions depend on air.</t>
  </si>
  <si>
    <t>MAG_COVER_CLOSED</t>
  </si>
  <si>
    <t>Magazine cover closed</t>
  </si>
  <si>
    <t>mag-cover-closed</t>
  </si>
  <si>
    <t>Cover switch if present</t>
  </si>
  <si>
    <t>COOLANT_TOGGLE</t>
  </si>
  <si>
    <t>Coolant toggle button</t>
  </si>
  <si>
    <t>coolant-toggle</t>
  </si>
  <si>
    <t>SPINDLE_OVERRIDE_CONTACTS</t>
  </si>
  <si>
    <t>Spindle override selector contacts</t>
  </si>
  <si>
    <t>spindle-override-sel</t>
  </si>
  <si>
    <t>If analog/pot, not a simple DI.</t>
  </si>
  <si>
    <t>ATC_HOME_PB</t>
  </si>
  <si>
    <t>Panel/ATC</t>
  </si>
  <si>
    <t>ATC home or magazine jog button</t>
  </si>
  <si>
    <t>atc-home-pb</t>
  </si>
  <si>
    <t>Operator panel/custom button</t>
  </si>
  <si>
    <t>CHIP_CONV_FAULT</t>
  </si>
  <si>
    <t>Chip handling</t>
  </si>
  <si>
    <t>Chip conveyor overload/fault</t>
  </si>
  <si>
    <t>chip-conveyor-fault</t>
  </si>
  <si>
    <t>Future conveyor overload</t>
  </si>
  <si>
    <t>Future.</t>
  </si>
  <si>
    <t>TOOL_UNCLAMP_SOL</t>
  </si>
  <si>
    <t>SOL-10</t>
  </si>
  <si>
    <t>Tool unclamp solenoid</t>
  </si>
  <si>
    <t>TB2</t>
  </si>
  <si>
    <t>tool-unclamp-sol</t>
  </si>
  <si>
    <t>Hydraulic valve coil</t>
  </si>
  <si>
    <t>Verify coil voltage/current before direct output.</t>
  </si>
  <si>
    <t>MAG_CW_SOL</t>
  </si>
  <si>
    <t>SOL-8A</t>
  </si>
  <si>
    <t>Magazine rotate CW/forward</t>
  </si>
  <si>
    <t>mag-cw-sol</t>
  </si>
  <si>
    <t>MAG_CCW_SOL</t>
  </si>
  <si>
    <t>SOL-8B</t>
  </si>
  <si>
    <t>Magazine rotate CCW/reverse</t>
  </si>
  <si>
    <t>mag-ccw-sol</t>
  </si>
  <si>
    <t>MAG_COVER_OPEN</t>
  </si>
  <si>
    <t>M15</t>
  </si>
  <si>
    <t>Magazine cover open solenoid</t>
  </si>
  <si>
    <t>mag-cover-open</t>
  </si>
  <si>
    <t>Cover solenoid if separate</t>
  </si>
  <si>
    <t>Only if separate solenoid present.</t>
  </si>
  <si>
    <t>MAG_COVER_CLOSE</t>
  </si>
  <si>
    <t>M16</t>
  </si>
  <si>
    <t>Magazine cover close solenoid</t>
  </si>
  <si>
    <t>mag-cover-close</t>
  </si>
  <si>
    <t>FLOOD_COOLANT</t>
  </si>
  <si>
    <t>M08</t>
  </si>
  <si>
    <t>Flood coolant pump contactor</t>
  </si>
  <si>
    <t>flood-coolant</t>
  </si>
  <si>
    <t>Coolant contactor/relay</t>
  </si>
  <si>
    <t>May need interposing relay.</t>
  </si>
  <si>
    <t>MIST_COOLANT</t>
  </si>
  <si>
    <t>M07</t>
  </si>
  <si>
    <t>Mist coolant valve</t>
  </si>
  <si>
    <t>mist-coolant</t>
  </si>
  <si>
    <t>Mist valve if present</t>
  </si>
  <si>
    <t>AIR_BLAST_1</t>
  </si>
  <si>
    <t>M50</t>
  </si>
  <si>
    <t>Air</t>
  </si>
  <si>
    <t>Workpiece air blast 1</t>
  </si>
  <si>
    <t>air-blast-1</t>
  </si>
  <si>
    <t>Air solenoid</t>
  </si>
  <si>
    <t>AIR_BLAST_2</t>
  </si>
  <si>
    <t>M53</t>
  </si>
  <si>
    <t>Workpiece air blast 2</t>
  </si>
  <si>
    <t>OUT8</t>
  </si>
  <si>
    <t>air-blast-2</t>
  </si>
  <si>
    <t>TAP_COOLANT</t>
  </si>
  <si>
    <t>M52</t>
  </si>
  <si>
    <t>Tap coolant valve</t>
  </si>
  <si>
    <t>OUT9</t>
  </si>
  <si>
    <t>tap-coolant</t>
  </si>
  <si>
    <t>Tap coolant valve if plumbed</t>
  </si>
  <si>
    <t>WORK_LIGHT</t>
  </si>
  <si>
    <t>Work light</t>
  </si>
  <si>
    <t>OUT10</t>
  </si>
  <si>
    <t>work-light</t>
  </si>
  <si>
    <t>Work light circuit</t>
  </si>
  <si>
    <t>CHIP_CONVEYOR_ON</t>
  </si>
  <si>
    <t>Chip conveyor on/off</t>
  </si>
  <si>
    <t>chip-conveyor-on</t>
  </si>
  <si>
    <t>Future conveyor contactor</t>
  </si>
  <si>
    <t>STACK_LIGHT_GREEN</t>
  </si>
  <si>
    <t>Indicator</t>
  </si>
  <si>
    <t>Green stack light</t>
  </si>
  <si>
    <t>stack-green</t>
  </si>
  <si>
    <t>Future stack light</t>
  </si>
  <si>
    <t>STACK_LIGHT_RED</t>
  </si>
  <si>
    <t>Red stack light</t>
  </si>
  <si>
    <t>stack-red</t>
  </si>
  <si>
    <t>P24_BUS</t>
  </si>
  <si>
    <t>P24 / +24V</t>
  </si>
  <si>
    <t>Power</t>
  </si>
  <si>
    <t>24 VDC positive control bus</t>
  </si>
  <si>
    <t>24 VDC</t>
  </si>
  <si>
    <t>POWER</t>
  </si>
  <si>
    <t>HR-11F-24</t>
  </si>
  <si>
    <t>Terminal strip</t>
  </si>
  <si>
    <t>+ / P24</t>
  </si>
  <si>
    <t>p24-bus</t>
  </si>
  <si>
    <t>Nemic-Lambda + output to Mazak I/O bus</t>
  </si>
  <si>
    <t>Verify actual wire numbers and distribution fusing.</t>
  </si>
  <si>
    <t>G24_BUS</t>
  </si>
  <si>
    <t>G24 / 0V</t>
  </si>
  <si>
    <t>24 VDC common/return bus</t>
  </si>
  <si>
    <t>0 VDC</t>
  </si>
  <si>
    <t>- / G24</t>
  </si>
  <si>
    <t>g24-bus</t>
  </si>
  <si>
    <t>Nemic-Lambda - output to Mazak I/O bus</t>
  </si>
  <si>
    <t>Keep returns referenced to original star/common point.</t>
  </si>
  <si>
    <t>HR24_REMOTE_SENSE_PLUS</t>
  </si>
  <si>
    <t>+S</t>
  </si>
  <si>
    <t>24 V remote sense plus</t>
  </si>
  <si>
    <t>Sense</t>
  </si>
  <si>
    <t>PSU</t>
  </si>
  <si>
    <t>Supply sense wire</t>
  </si>
  <si>
    <t>Often lands at P24 bus or jumpered to +.</t>
  </si>
  <si>
    <t>HR24_REMOTE_SENSE_MINUS</t>
  </si>
  <si>
    <t>-S</t>
  </si>
  <si>
    <t>24 V remote sense minus</t>
  </si>
  <si>
    <t>Often lands at G24 bus or jumpered to -.</t>
  </si>
  <si>
    <t>HR24_REMOTE_CONTROL</t>
  </si>
  <si>
    <t>TOG/CNT</t>
  </si>
  <si>
    <t>Remote on/off/control pair</t>
  </si>
  <si>
    <t>LOGIC</t>
  </si>
  <si>
    <t>PSU control terminals</t>
  </si>
  <si>
    <t>Do not disturb until traced; may be in estop/ready chain.</t>
  </si>
  <si>
    <t>HR24_FRAME_GROUND</t>
  </si>
  <si>
    <t>FG</t>
  </si>
  <si>
    <t>Grounding</t>
  </si>
  <si>
    <t>Frame ground / PE bond</t>
  </si>
  <si>
    <t>PE</t>
  </si>
  <si>
    <t>Cabinet PE bar</t>
  </si>
  <si>
    <t>Bond to cabinet protective earth.</t>
  </si>
  <si>
    <t>HR24_AC_LINE</t>
  </si>
  <si>
    <t>L/N</t>
  </si>
  <si>
    <t>100-120 VAC input from control transformer</t>
  </si>
  <si>
    <t>AC input</t>
  </si>
  <si>
    <t>Existing Mazak</t>
  </si>
  <si>
    <t>Control transformer secondary</t>
  </si>
  <si>
    <t>Do not re-tap transformer without measurement.</t>
  </si>
  <si>
    <t>PENDANT_USB</t>
  </si>
  <si>
    <t>WHB04B</t>
  </si>
  <si>
    <t>Wireless pendant USB receiver</t>
  </si>
  <si>
    <t>USB</t>
  </si>
  <si>
    <t>LinuxCNC USB</t>
  </si>
  <si>
    <t>PC USB</t>
  </si>
  <si>
    <t>pendant-*</t>
  </si>
  <si>
    <t>Tower PC USB port</t>
  </si>
  <si>
    <t>Use USB extension to move receiver near cabinet door.</t>
  </si>
  <si>
    <t>7i84 ATC, Hydraulic, Coolant, and Utility I/O</t>
  </si>
  <si>
    <t>Bulk field I/O intended for a 7i84 mounted near the existing green breakout PCB. Verify coil current before landing outputs directly.</t>
  </si>
  <si>
    <t>Analog Output and Encoder Channel Map</t>
  </si>
  <si>
    <t>Channel-level view for motion feedback. Axis feedback is RESOLVER (Mesa 7i49), not encoder. Confirm winding pairs and scale in cabinet.</t>
  </si>
  <si>
    <t>Channel</t>
  </si>
  <si>
    <t>Signal Type</t>
  </si>
  <si>
    <t>Signal Pair / Terminals</t>
  </si>
  <si>
    <t>Machine Origin / Destination</t>
  </si>
  <si>
    <t>Measurement Needed</t>
  </si>
  <si>
    <t>RES0</t>
  </si>
  <si>
    <t>Resolver input</t>
  </si>
  <si>
    <t>RO1/RO2-&gt;RESDRV+/-, stator pairs-&gt;RESSIN/RESCOS</t>
  </si>
  <si>
    <t>X axis Tamagawa resolver</t>
  </si>
  <si>
    <t>7i49</t>
  </si>
  <si>
    <t>Ohmmeter winding pairs before power; 5kHz excit.; scope ~1V RMS return on 2:1; model RT-5XA-11/L1</t>
  </si>
  <si>
    <t>Plain 7i49 baseline; 7i49HV only if signal far too weak.</t>
  </si>
  <si>
    <t>RES1</t>
  </si>
  <si>
    <t>Y axis Tamagawa resolver</t>
  </si>
  <si>
    <t>Same as X</t>
  </si>
  <si>
    <t>7i49 sole excitation source (TRA drives use tacho).</t>
  </si>
  <si>
    <t>RES2</t>
  </si>
  <si>
    <t>Z axis Tamagawa resolver</t>
  </si>
  <si>
    <t>Same as X; confirm Z brake/counterbalance deps</t>
  </si>
  <si>
    <t>MS3108B 20-29P is a connector shell, not a resolver model.</t>
  </si>
  <si>
    <t>RES3</t>
  </si>
  <si>
    <t>Resolver/pickup input</t>
  </si>
  <si>
    <t>TBD: resolver vs pickup</t>
  </si>
  <si>
    <t>Spindle resolver or pickup</t>
  </si>
  <si>
    <t>Determine resolver vs one-pulse pickup vs encoder</t>
  </si>
  <si>
    <t>7i49 channel only if spindle is resolver-based.</t>
  </si>
  <si>
    <t>ENC4</t>
  </si>
  <si>
    <t>Spare</t>
  </si>
  <si>
    <t>Encoder input</t>
  </si>
  <si>
    <t>Future rotary / toolsetter / scale</t>
  </si>
  <si>
    <t>spare-enc-4</t>
  </si>
  <si>
    <t>ENC5</t>
  </si>
  <si>
    <t>Future rotary / handwheel</t>
  </si>
  <si>
    <t>spare-enc-5</t>
  </si>
  <si>
    <t>Analog output</t>
  </si>
  <si>
    <t>±10 V command + analog common</t>
  </si>
  <si>
    <t>X servo drive command input</t>
  </si>
  <si>
    <t>Drive terminal labels, command scaling, polarity, common/isolation</t>
  </si>
  <si>
    <t>Start disabled; confirm zero offset.</t>
  </si>
  <si>
    <t>Y servo drive command input</t>
  </si>
  <si>
    <t>Z servo drive command input</t>
  </si>
  <si>
    <t>Same as X plus brake/counterbalance logic</t>
  </si>
  <si>
    <t>0-10 V or ±10 V speed ref + common</t>
  </si>
  <si>
    <t>FR-SX spindle controller speed reference</t>
  </si>
  <si>
    <t>FR-SX command mode, analog range, direction mode, common reference</t>
  </si>
  <si>
    <t>Use low RPM test after verifying run/enable wiring.</t>
  </si>
  <si>
    <t>AO4</t>
  </si>
  <si>
    <t>Future 4th axis or auxiliary</t>
  </si>
  <si>
    <t>spare-ao4</t>
  </si>
  <si>
    <t>AO5</t>
  </si>
  <si>
    <t>Future use</t>
  </si>
  <si>
    <t>spare-ao5</t>
  </si>
  <si>
    <t>24 VDC Supply and Cabinet Terminal Notes</t>
  </si>
  <si>
    <t>Photo-based extraction around the Nemic-Lambda HR-11F-24 and Mazak P24/G24 distribution. Trace wire numbers before disconnecting anything.</t>
  </si>
  <si>
    <t>Terminal / Label</t>
  </si>
  <si>
    <t>Device / Strip</t>
  </si>
  <si>
    <t>Expected Voltage / Type</t>
  </si>
  <si>
    <t>From</t>
  </si>
  <si>
    <t>To</t>
  </si>
  <si>
    <t>Do / Do Not</t>
  </si>
  <si>
    <t>HR-11F-24 PSU</t>
  </si>
  <si>
    <t>Remote sense plus</t>
  </si>
  <si>
    <t>Sense +24 V</t>
  </si>
  <si>
    <t>PSU sense terminal</t>
  </si>
  <si>
    <t>P24 bus or jumpered to +</t>
  </si>
  <si>
    <t>Do not remove until traced</t>
  </si>
  <si>
    <t>Often small-gauge wire paired with +24 bus.</t>
  </si>
  <si>
    <t>+</t>
  </si>
  <si>
    <t>Main +24 VDC output</t>
  </si>
  <si>
    <t>+24 VDC</t>
  </si>
  <si>
    <t>P24 / +24V cabinet distribution</t>
  </si>
  <si>
    <t>Keep or upgrade with proper fusing</t>
  </si>
  <si>
    <t>Existing supply is 24 VDC 5 A; check load if adding Mesa/relays.</t>
  </si>
  <si>
    <t>-</t>
  </si>
  <si>
    <t>Main 0 VDC return</t>
  </si>
  <si>
    <t>0 VDC / G24</t>
  </si>
  <si>
    <t>G24 cabinet common</t>
  </si>
  <si>
    <t>Keep common reference stable</t>
  </si>
  <si>
    <t>Avoid creating new return loops.</t>
  </si>
  <si>
    <t>Remote sense minus</t>
  </si>
  <si>
    <t>Sense 0 V</t>
  </si>
  <si>
    <t>G24 bus or jumpered to -</t>
  </si>
  <si>
    <t>TOG</t>
  </si>
  <si>
    <t>Remote on/off or inhibit input</t>
  </si>
  <si>
    <t>Control logic TBD</t>
  </si>
  <si>
    <t>Original Mazak relay/chain</t>
  </si>
  <si>
    <t>PSU control</t>
  </si>
  <si>
    <t>Trace before changing</t>
  </si>
  <si>
    <t>May be involved in NC/estop enable of 24 V bus.</t>
  </si>
  <si>
    <t>CNT</t>
  </si>
  <si>
    <t>Control companion/return for TOG</t>
  </si>
  <si>
    <t>Frame ground</t>
  </si>
  <si>
    <t>Protective earth</t>
  </si>
  <si>
    <t>PSU chassis</t>
  </si>
  <si>
    <t>Bond to PE</t>
  </si>
  <si>
    <t>L</t>
  </si>
  <si>
    <t>AC line input</t>
  </si>
  <si>
    <t>100-120 VAC</t>
  </si>
  <si>
    <t>PSU AC input</t>
  </si>
  <si>
    <t>Do not re-tap without meter/manual</t>
  </si>
  <si>
    <t>N</t>
  </si>
  <si>
    <t>AC neutral/other input leg</t>
  </si>
  <si>
    <t>100-120 VAC return</t>
  </si>
  <si>
    <t>Do not disturb until labeled</t>
  </si>
  <si>
    <t>P24</t>
  </si>
  <si>
    <t>Mazak terminal strip</t>
  </si>
  <si>
    <t>+24 VDC distribution node</t>
  </si>
  <si>
    <t>HR-11F-24 + output</t>
  </si>
  <si>
    <t>I/O sensors, relay coils, control wiring</t>
  </si>
  <si>
    <t>Document every jumper/wire number</t>
  </si>
  <si>
    <t>Photo labels included P24, +24V.</t>
  </si>
  <si>
    <t>G24</t>
  </si>
  <si>
    <t>24 VDC common/return distribution</t>
  </si>
  <si>
    <t>HR-11F-24 - output</t>
  </si>
  <si>
    <t>I/O returns/common</t>
  </si>
  <si>
    <t>Document common jumpers</t>
  </si>
  <si>
    <t>INHRLS</t>
  </si>
  <si>
    <t>Field input label seen in photo; function TBD</t>
  </si>
  <si>
    <t>24 V input TBD</t>
  </si>
  <si>
    <t>Field device TBD</t>
  </si>
  <si>
    <t>Old Mazatrol I/O / new Mesa input TBD</t>
  </si>
  <si>
    <t>Trace before assigning</t>
  </si>
  <si>
    <t>Add wire number, source, and normal state when measured.</t>
  </si>
  <si>
    <t>DEC2</t>
  </si>
  <si>
    <t>Signal label seen in photo; function TBD</t>
  </si>
  <si>
    <t>Field device or old I/O TBD</t>
  </si>
  <si>
    <t>Mesa I/O TBD</t>
  </si>
  <si>
    <t>Could be decel/return-related; do not assume.</t>
  </si>
  <si>
    <t>CH4</t>
  </si>
  <si>
    <t>Draft Parts List for Buying and Cabinet Planning</t>
  </si>
  <si>
    <t>Draft only. Quantities and exact Mesa card variants should be confirmed against current availability, actual drive signal type, I/O count, connector style, and cabinet space before ordering.</t>
  </si>
  <si>
    <t>Category</t>
  </si>
  <si>
    <t>Part / Description</t>
  </si>
  <si>
    <t>Suggested Qty</t>
  </si>
  <si>
    <t>Buy Priority</t>
  </si>
  <si>
    <t>Purpose</t>
  </si>
  <si>
    <t>Depends On / Verify First</t>
  </si>
  <si>
    <t>Cabinet Location</t>
  </si>
  <si>
    <t>Motion control</t>
  </si>
  <si>
    <t>Buy after verification</t>
  </si>
  <si>
    <t>Selected architecture</t>
  </si>
  <si>
    <t>DIN rail / panel near drives and PC</t>
  </si>
  <si>
    <t>Field I/O</t>
  </si>
  <si>
    <t>Mesa 7i84 remote 24 V digital I/O card or equivalent</t>
  </si>
  <si>
    <t>ATC, hydraulic, coolant, air blast, utility I/O near breakout board</t>
  </si>
  <si>
    <t>Count actual inputs/outputs and coil current requirements</t>
  </si>
  <si>
    <t>Near green YM VQC-20-40/50 breakout PCB</t>
  </si>
  <si>
    <t>WHB04B-style wireless USB LinuxCNC pendant</t>
  </si>
  <si>
    <t>Jog, overrides, start/stop/home through LinuxCNC HAL</t>
  </si>
  <si>
    <t>Driver support for exact model/firmware</t>
  </si>
  <si>
    <t>USB receiver on extension near cabinet door</t>
  </si>
  <si>
    <t>No Mesa I/O required.</t>
  </si>
  <si>
    <t>24 VDC power supply, existing HR-11F-24 or new supply if load margin is insufficient</t>
  </si>
  <si>
    <t>Mesa field I/O, relay coils, sensors, control logic</t>
  </si>
  <si>
    <t>Measure existing 24 V load, inrush, added load, fusing</t>
  </si>
  <si>
    <t>Existing 24 V PSU area</t>
  </si>
  <si>
    <t>Existing is 24 VDC 5 A; may be kept if adequate.</t>
  </si>
  <si>
    <t>Power distribution</t>
  </si>
  <si>
    <t>DIN-rail fused terminal blocks / electronic circuit protectors for P24 branches</t>
  </si>
  <si>
    <t>As needed</t>
  </si>
  <si>
    <t>Fuse/protect Mesa I/O, sensors, relays, utility branches</t>
  </si>
  <si>
    <t>Branch count and current draw</t>
  </si>
  <si>
    <t>Near P24/G24 distribution and Mesa cards</t>
  </si>
  <si>
    <t>Measure before buying</t>
  </si>
  <si>
    <t>Plan separate fusing for controls, outputs, sensors, and relays.</t>
  </si>
  <si>
    <t>Terminals</t>
  </si>
  <si>
    <t>DIN rail, terminal blocks, jumpers, end stops, labels</t>
  </si>
  <si>
    <t>Panel-specific</t>
  </si>
  <si>
    <t>Clean landing of old field wiring and new Mesa wiring</t>
  </si>
  <si>
    <t>Available rail length, wire sizes, terminal count</t>
  </si>
  <si>
    <t>Former Mazatrol bay / breakout PCB area</t>
  </si>
  <si>
    <t>Include P24/G24 distribution and shield clamps.</t>
  </si>
  <si>
    <t>Wiring</t>
  </si>
  <si>
    <t>Measure runs</t>
  </si>
  <si>
    <t>24 V control wire, ferrules, wire duct, wire markers, heat shrink labels</t>
  </si>
  <si>
    <t>Buy now</t>
  </si>
  <si>
    <t>Cabinet rewiring and documentation</t>
  </si>
  <si>
    <t>Wire gauge standards and color scheme</t>
  </si>
  <si>
    <t>All new cabinet wiring</t>
  </si>
  <si>
    <t>Label every old and new wire before removal.</t>
  </si>
  <si>
    <t>Interposing relays</t>
  </si>
  <si>
    <t>24 VDC interposing relay modules or relay sockets</t>
  </si>
  <si>
    <t>Drive coils/contactor loads that exceed Mesa output rating or need isolation</t>
  </si>
  <si>
    <t>Output coil currents, AC/DC loads, snubber needs</t>
  </si>
  <si>
    <t>Near 7i84 outputs / contactor coils</t>
  </si>
  <si>
    <t>Especially for coolant, hydraulic, solenoids, lamps, contactors.</t>
  </si>
  <si>
    <t>Protection</t>
  </si>
  <si>
    <t>Flyback diodes, RC snubbers, surge suppressors as appropriate</t>
  </si>
  <si>
    <t>Per coil/load</t>
  </si>
  <si>
    <t>Protect Mesa outputs and reduce cabinet noise</t>
  </si>
  <si>
    <t>Coil voltage AC/DC and existing suppression</t>
  </si>
  <si>
    <t>At coils or relay modules</t>
  </si>
  <si>
    <t>Do not put DC diode across AC coils.</t>
  </si>
  <si>
    <t>Safety relay / contactor interface if original estop chain is being reworked</t>
  </si>
  <si>
    <t>Hardware-level estop and drive power removal</t>
  </si>
  <si>
    <t>Existing estop/door chain architecture</t>
  </si>
  <si>
    <t>Safety/control section</t>
  </si>
  <si>
    <t>LinuxCNC/Mesa should monitor safety; hardware chain should remove hazardous power.</t>
  </si>
  <si>
    <t>Mechanical</t>
  </si>
  <si>
    <t>PC mounting tray/brackets, filtered fan/airflow parts if needed</t>
  </si>
  <si>
    <t>Secure tower PC inside former Mazatrol bay with adequate airflow</t>
  </si>
  <si>
    <t>Cabinet bay dimensions, door clearance, cooling path</t>
  </si>
  <si>
    <t>Former Mazatrol rack bay</t>
  </si>
  <si>
    <t>Protect PC from chips/oil/coolant mist and vibration.</t>
  </si>
  <si>
    <t>Cabling</t>
  </si>
  <si>
    <t>Cabinet Wiring Notes and Cut-over Plan</t>
  </si>
  <si>
    <t>Practical notes for planning cabinet work. Treat as a working checklist to update as measurements and terminal labels are confirmed.</t>
  </si>
  <si>
    <t>Phase</t>
  </si>
  <si>
    <t>Task / Note</t>
  </si>
  <si>
    <t>Why it matters</t>
  </si>
  <si>
    <t>Affected Sheets</t>
  </si>
  <si>
    <t>Document before removal</t>
  </si>
  <si>
    <t>Photograph every Mazatrol rack connector, green breakout PCB plug, drive terminal strip, HR-11F-24 terminal, and terminal strip before unplugging.</t>
  </si>
  <si>
    <t>Lets each original function find a new Mesa landing point and protects against lost wire identity.</t>
  </si>
  <si>
    <t>IO_Master, 24V_Terminals</t>
  </si>
  <si>
    <t>Include wire numbers and pulled-back photos showing destination.</t>
  </si>
  <si>
    <t>Labeling</t>
  </si>
  <si>
    <t>Apply wire markers to both ends of every moved conductor; record terminal strip ID/position and old connector pin if known.</t>
  </si>
  <si>
    <t>The workbook becomes the source of truth for HAL and wiring.</t>
  </si>
  <si>
    <t>Add columns if you want Old Connector / New Terminal detail.</t>
  </si>
  <si>
    <t>Keep existing main power distribution, contactors, transformers, FR-SX drive, servo drives, and 24 V supply intact until individually traced.</t>
  </si>
  <si>
    <t>Retrofit replaces Mazatrol logic, not the whole machine electrical system.</t>
  </si>
  <si>
    <t>24V_Terminals, Parts_List</t>
  </si>
  <si>
    <t>Measure 24 V load before deciding whether to replace HR-11F-24.</t>
  </si>
  <si>
    <t>PC install</t>
  </si>
  <si>
    <t>Parts_List, Unknowns_Measure</t>
  </si>
  <si>
    <t>Check door closure, vibration, coolant mist exposure, grounding.</t>
  </si>
  <si>
    <t>Mesa layout</t>
  </si>
  <si>
    <t>Motion wiring</t>
  </si>
  <si>
    <t>Incorrect polarity or scaling can cause runaway motion.</t>
  </si>
  <si>
    <t>Motion_Axes, Analog_Encoder</t>
  </si>
  <si>
    <t>Field I/O wiring</t>
  </si>
  <si>
    <t>Move solenoids, prox switches, pressure switches, coolant, and air outputs to the 7i84/interposing relays one subsystem at a time.</t>
  </si>
  <si>
    <t>Simplifies testing and avoids coupling ATC errors to axis bring-up.</t>
  </si>
  <si>
    <t>Verify coil current and voltage before direct Mesa output use.</t>
  </si>
  <si>
    <t>Preserve a hardware estop chain that removes hazardous power; use Mesa/LinuxCNC to monitor and request enables, not as the sole safety device.</t>
  </si>
  <si>
    <t>Software alone is not a safety chain.</t>
  </si>
  <si>
    <t>Consider safety relay if original chain is reworked.</t>
  </si>
  <si>
    <t>Grounding/shields</t>
  </si>
  <si>
    <t>Reduces noise and avoids ground loops.</t>
  </si>
  <si>
    <t>Analog_Encoder, 24V_Terminals</t>
  </si>
  <si>
    <t>Document every shield drain landing.</t>
  </si>
  <si>
    <t>Bring-up</t>
  </si>
  <si>
    <t>Finds wiring errors before higher-energy functions are enabled.</t>
  </si>
  <si>
    <t>Motion_Axes, IO_Master</t>
  </si>
  <si>
    <t>Use low speeds and no tool/load during first ATC tests.</t>
  </si>
  <si>
    <t>Unknowns and Measurements Still Needed</t>
  </si>
  <si>
    <t>Use this as the measurement punch list before final ordering, drilling, and live machine bring-up.</t>
  </si>
  <si>
    <t>Unknown / Measurement</t>
  </si>
  <si>
    <t>Why Needed</t>
  </si>
  <si>
    <t>How to Check</t>
  </si>
  <si>
    <t>Blocks Purchase / Work</t>
  </si>
  <si>
    <t>Owner / Date</t>
  </si>
  <si>
    <t>Axis servo drive command type and scaling</t>
  </si>
  <si>
    <t>Read drive model/terminal labels/manual; meter original command during safe conditions if possible.</t>
  </si>
  <si>
    <t>Do before wiring AO0-AO2.</t>
  </si>
  <si>
    <t>Per-axis resolver label, winding pairs, transformation ratio, and return signal level</t>
  </si>
  <si>
    <t>Confirms plain 7i49 (not HV) works; sets 7i49 scale and excitation.</t>
  </si>
  <si>
    <t>Ohmmeter winding pairs before power; scope sin/cos return after 5kHz excitation; note model RT-5XA-11/L1.</t>
  </si>
  <si>
    <t>Resolver wiring, HAL scale, live motion, 7i49 vs 7i49HV decision</t>
  </si>
  <si>
    <t>7i49 is sole excitation source; MS3108B 20-29P is a connector, not a model.</t>
  </si>
  <si>
    <t>Spindle FR-SX command mode, analog speed range, direction/run terminals</t>
  </si>
  <si>
    <t>Determines AO3 scaling and DO wiring.</t>
  </si>
  <si>
    <t>Read FR-SX terminal strip/manual; record terminal labels; measure original analog range if possible.</t>
  </si>
  <si>
    <t>Spindle wiring and HAL</t>
  </si>
  <si>
    <t>Also confirm zero-speed/at-speed outputs.</t>
  </si>
  <si>
    <t>Existing estop, door, servo-on, and ready-chain architecture</t>
  </si>
  <si>
    <t>Safety chain must remain hardware-safe after Mazatrol removal.</t>
  </si>
  <si>
    <t>Trace estop/door contacts, safety relay/contactors, servo contactor coil path.</t>
  </si>
  <si>
    <t>Safety relay/contactors/interposing relay decisions</t>
  </si>
  <si>
    <t>Do not assume software estop is sufficient.</t>
  </si>
  <si>
    <t>24 VDC supply load and available headroom</t>
  </si>
  <si>
    <t>Existing HR-11F-24 is 24 V/5 A; added Mesa I/O/relays may exceed margin.</t>
  </si>
  <si>
    <t>Measure load current with machine powered; estimate added loads; inspect existing fusing.</t>
  </si>
  <si>
    <t>PSU replacement and fused terminal sizing</t>
  </si>
  <si>
    <t>Keep P24/G24 documented.</t>
  </si>
  <si>
    <t>Solenoid/contactor coil voltage and current for ATC, coolant, hydraulic outputs</t>
  </si>
  <si>
    <t>Determines whether Mesa outputs can drive directly or need relays/snubbers.</t>
  </si>
  <si>
    <t>Read coil labels, measure resistance/current, check AC vs DC.</t>
  </si>
  <si>
    <t>7i84 output wiring, relay modules, suppression</t>
  </si>
  <si>
    <t>Use interposing relays if in doubt.</t>
  </si>
  <si>
    <t>Magazine tool-bit count and PRS-21...25 mapping</t>
  </si>
  <si>
    <t>Defines ATC tool-number decode logic.</t>
  </si>
  <si>
    <t>Rotate magazine manually/safely and record PRS bit pattern for each pocket.</t>
  </si>
  <si>
    <t>ATC HAL/component logic</t>
  </si>
  <si>
    <t>Confirm PRS-25 used/not used.</t>
  </si>
  <si>
    <t>PRS-8/9, PRS-10/12, PRS-13 actual normal states</t>
  </si>
  <si>
    <t>Correct clamp, gear, and magazine interlocks.</t>
  </si>
  <si>
    <t>Meter each prox/switch in both states; record active high/low.</t>
  </si>
  <si>
    <t>ATC/hydraulic logic</t>
  </si>
  <si>
    <t>Y/Z ATC zone switches existence and labels</t>
  </si>
  <si>
    <t>ATC must know axes are in safe tool-change position.</t>
  </si>
  <si>
    <t>Trace from manual/photo labels; move axes with machine safe and watch signals.</t>
  </si>
  <si>
    <t>ATC dry-run</t>
  </si>
  <si>
    <t>Can be software limits plus physical confirmation if present.</t>
  </si>
  <si>
    <t>Determines DIN rail, duct, cable length, and mounting hardware.</t>
  </si>
  <si>
    <t>Measure bay width/height/depth, door swing, service clearance, airflow path.</t>
  </si>
  <si>
    <t>DIN rail, wire duct, PC brackets</t>
  </si>
  <si>
    <t>Existing green breakout PCB connector pinout</t>
  </si>
  <si>
    <t>Could reuse as junction or replace with terminal blocks.</t>
  </si>
  <si>
    <t>Photograph connector labels, continuity trace to terminal strips/field devices.</t>
  </si>
  <si>
    <t>Harness strategy</t>
  </si>
  <si>
    <t>Board labeled YM VQC-20-40/50 in notes.</t>
  </si>
  <si>
    <t>Pendant exact model/driver compatibility</t>
  </si>
  <si>
    <t>Avoids buying a pendant with poor LinuxCNC support.</t>
  </si>
  <si>
    <t>Choose exact WHB04B model and verify LinuxCNC driver/HAL pins.</t>
  </si>
  <si>
    <t>Pendant purchase only</t>
  </si>
  <si>
    <t>Resolver return signal level after 7i49 excitation</t>
  </si>
  <si>
    <t>Decides full-drive vs W2 half-drive/divider and plain-7i49 vs 7i49HV.</t>
  </si>
  <si>
    <t>Scope RESSIN/RESCOS with 7i49 at 5kHz; expect ~1V RMS on 2:1.</t>
  </si>
  <si>
    <t>7i49 tuning and possible 7i49HV escalation</t>
  </si>
  <si>
    <t>Measure at bring-up</t>
  </si>
  <si>
    <t>Do with drives disabled.</t>
  </si>
  <si>
    <t>7i49-to-host connection path and firmware num_resolvers</t>
  </si>
  <si>
    <t>Determines board tag, resolver channel names, and HAL config.</t>
  </si>
  <si>
    <t>Confirm how 7i49 attaches to the 7i97T FPGA; load resolver firmware; readhmid.</t>
  </si>
  <si>
    <t>Firmware/HAL finalization</t>
  </si>
  <si>
    <t>Verify before wiring</t>
  </si>
  <si>
    <t>Feedback is resolver, not encoder.</t>
  </si>
  <si>
    <t>Final resolver HAL scale and axis orientation</t>
  </si>
  <si>
    <t>Correct position scaling and direction per axis.</t>
  </si>
  <si>
    <t>Count test with drives disabled; set resolver.NN.scale.</t>
  </si>
  <si>
    <t>Live motion</t>
  </si>
  <si>
    <t>Resolver cable shield / ground termination</t>
  </si>
  <si>
    <t>Prevents noise on sin/cos feedback.</t>
  </si>
  <si>
    <t>Decide single-point shield landing; keep away from power wiring.</t>
  </si>
  <si>
    <t>Resolver cabling</t>
  </si>
  <si>
    <t>Plan before wiring</t>
  </si>
  <si>
    <t>Source References and Confidence Notes</t>
  </si>
  <si>
    <t>Local prior-session sources used for this workbook. These are workspace references, not external documents.</t>
  </si>
  <si>
    <t>Source</t>
  </si>
  <si>
    <t>Lines / Location</t>
  </si>
  <si>
    <t>What was extracted</t>
  </si>
  <si>
    <t>Confidence</t>
  </si>
  <si>
    <t>past_session_contexts/sessions/2026-05-25_2026-05-31/2af3baab/conversation.md</t>
  </si>
  <si>
    <t>103-130</t>
  </si>
  <si>
    <t>Keep original servos/spindle/encoders; PCIe Mesa + analog/encoder daughtercards; field I/O groups.</t>
  </si>
  <si>
    <t>Some drive signal details were inferred pending model/terminal verification.</t>
  </si>
  <si>
    <t>141-159, 170-205</t>
  </si>
  <si>
    <t>Mitsubishi DC servos, FR-SX spindle drive, toolchanger/hydraulics, green breakout PCB, solenoid/prox groups.</t>
  </si>
  <si>
    <t>Photo-based interpretation; verify terminal labels.</t>
  </si>
  <si>
    <t>228-271</t>
  </si>
  <si>
    <t>All-at-once cutover plan, 6i25/7i77-class card concept, analog/spindle/field I/O counts.</t>
  </si>
  <si>
    <t>Exact Mesa model availability should be checked before ordering.</t>
  </si>
  <si>
    <t>283-399</t>
  </si>
  <si>
    <t>Initial logical I/O map: AO0-AO5, ENC0-ENC5, drive faults/enables, homes/limits, ATC, gear, magazine, coolant, panel.</t>
  </si>
  <si>
    <t>Logical map, not confirmed physical pinout.</t>
  </si>
  <si>
    <t>408-455</t>
  </si>
  <si>
    <t>6i25 + 7i77 fit, optional 7i85, 7i84 for bulk I/O near breakout board.</t>
  </si>
  <si>
    <t>Part numbers should be verified with current Mesa catalog.</t>
  </si>
  <si>
    <t>464-575</t>
  </si>
  <si>
    <t>7i77 critical I/O split, 7i84 ATC/hydraulic/coolant split, WHB04B pendant integration.</t>
  </si>
  <si>
    <t>Useful for cabinet layout.</t>
  </si>
  <si>
    <t>584-814</t>
  </si>
  <si>
    <t>CSV-style starter I/O rows and encoder/analog rows used as base table content.</t>
  </si>
  <si>
    <t>Rows imported and expanded into workbook with verification/status columns.</t>
  </si>
  <si>
    <t>past_session_contexts/sessions/2026-06-01_2026-06-07/ea226a32/conversation.md</t>
  </si>
  <si>
    <t>17-26, 37-60, 69-112</t>
  </si>
  <si>
    <t>HR-11F-24 PSU terminal labels, P24/G24 distribution, terminal-list column recommendations, labels INHRLS/DEC2/CH4.</t>
  </si>
  <si>
    <t>Photo-based; trace before disturbing PSU or terminal strip.</t>
  </si>
  <si>
    <t>past_session_contexts/sessions/2026-05-25_2026-05-31/fe3144f4/conversation.md</t>
  </si>
  <si>
    <t>9-33</t>
  </si>
  <si>
    <t>Overall goal: Mazak-to-Mesa-to-LinuxCNC retrofit and need for HAL/INI/I/O map work.</t>
  </si>
  <si>
    <t>Context only.</t>
  </si>
  <si>
    <t>Current conversation decision</t>
  </si>
  <si>
    <t>2026-06-01</t>
  </si>
  <si>
    <t>Current conversation task</t>
  </si>
  <si>
    <t>Use this sheet to collect exact card, firmware, readhmid, and HAL pin outputs before finalizing skeleton files.</t>
  </si>
  <si>
    <t>Added cabinet photo checklist for Mesa ordering and HAL finalization.</t>
  </si>
  <si>
    <t>LinuxCNC forum: Servo PID tuning (VQC 15/40)</t>
  </si>
  <si>
    <t>https://forum.linuxcnc.org/10-advanced-configuration/32061-servo-pid-tuning-can-t-clamp-down-on-overshoot</t>
  </si>
  <si>
    <t>VQC 15/40 sister retrofit: TRA-31 drives, HD81-12S motors, plain 7i49 @ 5kHz vs 4.5kHz resolver spec</t>
  </si>
  <si>
    <t>Primary basis for plain-7i49 + 5kHz baseline.</t>
  </si>
  <si>
    <t>Mesa 7i49 manual</t>
  </si>
  <si>
    <t>http://www.mesanet.com/pdf/motion/7i49man.pdf</t>
  </si>
  <si>
    <t>7i49 resolver interface: 2.5/5/10 kHz excitation, 2:1 ratio (~2V drive/~1V return), W2 half-drive, RESDRV/RESSIN/RESCOS</t>
  </si>
  <si>
    <t>Hardware reference for wiring and excitation.</t>
  </si>
  <si>
    <t>srdco/MazakVQC1540 (GitHub)</t>
  </si>
  <si>
    <t>https://github.com/srdco/MazakVQC1540</t>
  </si>
  <si>
    <t>LinuxCNC configs for the sister VQC 15/40 retrofit</t>
  </si>
  <si>
    <t>Cross-check HAL/resolver config against this build.</t>
  </si>
  <si>
    <t>SRDCO MazakVQC1540 complete 2017 reference package (GitHub)</t>
  </si>
  <si>
    <t>https://github.com/srdco/MazakVQC1540/tree/master/MAZAK-VQC1540-20170501</t>
  </si>
  <si>
    <t>Full 2017-05-01 config/wiring snapshot from the sister VQC 15/40 build</t>
  </si>
  <si>
    <t>Planning and retrofit comparison; cross-check HAL/resolver/wiring against this package.</t>
  </si>
  <si>
    <t>User thread: Mesa conversion for Mazak VQC 20/40 M2</t>
  </si>
  <si>
    <t>https://forum.linuxcnc.org/27-driver-boards/58767-mesa-conversion-for-a-mazak-vqc-20-40-m2-mill</t>
  </si>
  <si>
    <t>This machine conversion thread (M2 control)</t>
  </si>
  <si>
    <t>Project discussion thread.</t>
  </si>
  <si>
    <t>Mitsubishi TRA-31 drive manual</t>
  </si>
  <si>
    <t>https://us.mitsubishielectric.com/fa/en/support/technical-support/knowledge-base/getdocument/?docid=3E26SJWH3ZZR-24-3709</t>
  </si>
  <si>
    <t>TRA-31 servo drive: velocity loop on tachometer, not resolver</t>
  </si>
  <si>
    <t>Confirms 7i49 can own resolver excitation.</t>
  </si>
  <si>
    <t>Meldas YM2 / Mazatrol M2 maintenance manual</t>
  </si>
  <si>
    <t>https://us.mitsubishielectric.com/fa/en/support/technical-support/knowledge-base/getdocument/?docid=3E26SJWH3ZZR-24-2231</t>
  </si>
  <si>
    <t>Original resolver wiring context (two-phase excitation into stator, phase from rotor)</t>
  </si>
  <si>
    <t>Basis for the reverse-wiring / ohmmeter warning.</t>
  </si>
  <si>
    <t>Status Vocabulary</t>
  </si>
  <si>
    <t>Meaning</t>
  </si>
  <si>
    <t>Roll-up Treatment</t>
  </si>
  <si>
    <t>Verified from photos, notes, or measurement.</t>
  </si>
  <si>
    <t>Closed</t>
  </si>
  <si>
    <t>Assumed from retrofit notes; not yet proven at the machine.</t>
  </si>
  <si>
    <t>Open - needs verification</t>
  </si>
  <si>
    <t>Must be traced or confirmed in the cabinet.</t>
  </si>
  <si>
    <t>Measurement blocks a purchase decision.</t>
  </si>
  <si>
    <t>Measurement happens during powered bring-up, not before ordering.</t>
  </si>
  <si>
    <t>Must be confirmed before landing conductors.</t>
  </si>
  <si>
    <t>Decision required before landing conductors.</t>
  </si>
  <si>
    <t>Not required for base 3-axis + spindle bring-up.</t>
  </si>
  <si>
    <t>Not required</t>
  </si>
  <si>
    <t>Buy Priority Vocabulary</t>
  </si>
  <si>
    <t>No dependency; safe to order immediately.</t>
  </si>
  <si>
    <t>Blocked until the linked verification is done.</t>
  </si>
  <si>
    <t>Blocked until a physical measurement is taken.</t>
  </si>
  <si>
    <t>Not required for base build.</t>
  </si>
  <si>
    <t>IO_Master rows still open (any non-confirmed status)</t>
  </si>
  <si>
    <t>Unknowns_Measure open items</t>
  </si>
  <si>
    <t>7i97T</t>
  </si>
  <si>
    <t>X_RESOLVER</t>
  </si>
  <si>
    <t>Y_RESOLVER</t>
  </si>
  <si>
    <t>Z_RESOLVER</t>
  </si>
  <si>
    <t>SPINDLE_RESOLVER</t>
  </si>
  <si>
    <t>X resolver position feedback</t>
  </si>
  <si>
    <t>Y resolver position feedback</t>
  </si>
  <si>
    <t>Z resolver position feedback</t>
  </si>
  <si>
    <t>Spindle resolver / pickup feedback</t>
  </si>
  <si>
    <t>Resolver sin/cos + excitation</t>
  </si>
  <si>
    <t>Resolver or one-pulse pickup TBD</t>
  </si>
  <si>
    <t>RESOLVER IN</t>
  </si>
  <si>
    <t>Resolver TB</t>
  </si>
  <si>
    <t>Spindle resolver / magnetic pickup</t>
  </si>
  <si>
    <t>Ohm winding pairs before power; RO1/RO2 to RESDRV+/-, stator pairs to RESSIN/RESCOS; scope ~1V RMS return at 5 kHz.</t>
  </si>
  <si>
    <t>Same as X; confirm winding pairs and phasing before power.</t>
  </si>
  <si>
    <t>Same as X; also confirm Z brake / counterbalance dependencies.</t>
  </si>
  <si>
    <t>Confirm whether spindle feedback is a resolver, magnetic pickup, or proprietary signal.</t>
  </si>
  <si>
    <t>7i97T / 7i49 Axis, Spindle, and Safety I/O</t>
  </si>
  <si>
    <t>Critical motion/safety rows intended to land on the 7i97T (with resolver feedback on the 7i49). Keep these close to axis/spindle drive wiring and existing safety/ready chains.</t>
  </si>
  <si>
    <t>Decision locked for planning: tower PC inside the Mazak cabinet driving a 7i97T Ethernet motion card, with resolver feedback on a 7i49 and bulk field I/O on a 7i84. A PCIe host card is rejected.</t>
  </si>
  <si>
    <t>7i97T Ethernet motion card (hm2_eth)</t>
  </si>
  <si>
    <t>Single card provides analog servo outputs, encoder/resolver host FPGA, and isolated 24 V I/O over standard Ethernet; no free PCIe slot or ribbon stack required.</t>
  </si>
  <si>
    <t>One shielded Cat5e/Cat6 run from a dedicated PC NIC to the 7i97T; card mounts on DIN rail near the drives with 24 V field power.</t>
  </si>
  <si>
    <t>Parts_List, Mesa_Firmware, Analog_Encoder, IO_Master</t>
  </si>
  <si>
    <t>Dedicated NIC with static IP; no switch between PC and card. Confirm bitfile and hm2_eth board name before final HAL pin names.</t>
  </si>
  <si>
    <t>7i97T analog outputs + 7i49 resolver feedback</t>
  </si>
  <si>
    <t>Matches X/Y/Z analog +/-10 V servo commands and spindle speed reference, with original Tamagawa resolvers read by the 7i49 instead of encoders.</t>
  </si>
  <si>
    <t>Mount near servo/spindle drive signal wiring; keep resolver sin/cos and analog command runs short and shielded, single-point shield landing.</t>
  </si>
  <si>
    <t>Motion_Axes, 7i97T_Axis_Safety, Analog_Encoder</t>
  </si>
  <si>
    <t>Verify +/-10 V drive inputs, resolver winding pairs and return level, and FR-SX speed reference before live motion.</t>
  </si>
  <si>
    <t>Smart-serial expansion (second 7i84 / 7i73) optional</t>
  </si>
  <si>
    <t>Only needed if field I/O count grows or a panel/MPG interface is added; 7i97T resolver and analog channels cover the base 3-axis + spindle build.</t>
  </si>
  <si>
    <t>Reserve DIN rail space and a spare smart-serial port, but do not require for initial bring-up.</t>
  </si>
  <si>
    <t>Parts_List, 7i84_ATC_Utility</t>
  </si>
  <si>
    <t>Adds a PCIe slot dependency, ribbon-cable stack, and a host-card model tied to the specific PC; the 7i97T provides the same channels over Ethernet with less cabinet clutter.</t>
  </si>
  <si>
    <t>No cabinet plan based on a PCIe host card or internal ribbon cabling.</t>
  </si>
  <si>
    <t>Revisit only if the 7i97T fails latency or Ethernet packet timing on the tower PC.</t>
  </si>
  <si>
    <t>Rejected alternative</t>
  </si>
  <si>
    <t>PCIe host card + ribbon-cable daughtercard stack</t>
  </si>
  <si>
    <t>7i97T AO0, +/-10 V</t>
  </si>
  <si>
    <t>7i97T AO1, +/-10 V</t>
  </si>
  <si>
    <t>7i97T AO2, +/-10 V</t>
  </si>
  <si>
    <t>7i97T AO3, 0-10 V or +/-10 V</t>
  </si>
  <si>
    <t>7i49 RES0 resolver</t>
  </si>
  <si>
    <t>7i49 RES1 resolver</t>
  </si>
  <si>
    <t>7i49 RES2 resolver</t>
  </si>
  <si>
    <t>7i49 RES3 resolver or pickup input</t>
  </si>
  <si>
    <t>Closed-loop joint.0 PID using 7i49 resolver position; home on LS-42; limits into joint limit pins.</t>
  </si>
  <si>
    <t>Closed-loop joint.1 PID using resolver position; home on LS-52; limits into joint pins.</t>
  </si>
  <si>
    <t>Closed-loop joint.2 PID using resolver position; home on LS-62; limits into joint pins.</t>
  </si>
  <si>
    <t>spindle.0 speed command, enable, direction, optional resolver/pickup feedback for threading, orient, and rigid tapping.</t>
  </si>
  <si>
    <t>Verify resolver counts and direction with drive disabled; set resolver.NN.scale; enable at low gain; jog slowly; confirm limits/home.</t>
  </si>
  <si>
    <t>Same as X; verify resolver phasing, home direction, and Y ATC zone signal if present.</t>
  </si>
  <si>
    <t>+/-10 V analog command is likely from retrofit notes but must be confirmed at drive terminals; feedback is resolver, not encoder.</t>
  </si>
  <si>
    <t>Confirm resolver winding pairs and drive command polarity.</t>
  </si>
  <si>
    <t>7i84 outputs (smart-serial from 7i97T)</t>
  </si>
  <si>
    <t>Spare 7i97T encoder channel; reserve for toolsetter or scale.</t>
  </si>
  <si>
    <t>Spare 7i97T encoder channel; reserve for handwheel or 4th axis.</t>
  </si>
  <si>
    <t>7i97T Ethernet motion card</t>
  </si>
  <si>
    <t>mesaflash --device 7i97t --addr &lt;card-ip&gt; --readhmid</t>
  </si>
  <si>
    <t>If the card is not a 7i97T, the bitfile target and hm2 board name both change.</t>
  </si>
  <si>
    <t>Dedicated NIC and IP reachability to the card</t>
  </si>
  <si>
    <t>Confirms the tower PC can talk to the Mesa card before any wiring is trusted.</t>
  </si>
  <si>
    <t>Set a static IP on the dedicated NIC, then ping the card.</t>
  </si>
  <si>
    <t>ip addr; ping &lt;card-ip&gt;</t>
  </si>
  <si>
    <t>7i49 attachment path to the 7i97T</t>
  </si>
  <si>
    <t>Determines resolver channel names and firmware num_resolvers.</t>
  </si>
  <si>
    <t>7i49 on the 7i97T expansion header - VERIFY</t>
  </si>
  <si>
    <t>Physical inspection plus Mesa docs for the 7i97T expansion header.</t>
  </si>
  <si>
    <t>Physical inspection / photos / Mesa 7i97 manual</t>
  </si>
  <si>
    <t>Firmware choice, resolver HAL pin names</t>
  </si>
  <si>
    <t>Open unknown: if the 7i49 cannot attach to the 7i97T, escalate to a 7i80/7i92-class host for the resolver card.</t>
  </si>
  <si>
    <t>7i84 smart-serial port and cable route</t>
  </si>
  <si>
    <t>Second smart-serial port may be unused or carry a second 7i84.</t>
  </si>
  <si>
    <t>Trace the cable from the 7i84 back to the 7i97T.</t>
  </si>
  <si>
    <t>Leave the spare port unused if only one 7i84 is installed on day one.</t>
  </si>
  <si>
    <t>7i97T output type (sourcing vs sinking)</t>
  </si>
  <si>
    <t>Output type drives relay/coil common wiring.</t>
  </si>
  <si>
    <t>7i97T sourcing outputs TBD</t>
  </si>
  <si>
    <t>7i97T field power voltage</t>
  </si>
  <si>
    <t>Meter at the 7i97T field power TB</t>
  </si>
  <si>
    <t>Resolver excitation frequency and drive level</t>
  </si>
  <si>
    <t>7i49 excitation (2.5 / 5 / 10 kHz) and full vs W2 half-drive must match the resolver ratio.</t>
  </si>
  <si>
    <t>5 kHz, plain 7i49, 2:1 ratio baseline</t>
  </si>
  <si>
    <t>Read the 7i49 manual; scope RESSIN/RESCOS return with excitation live.</t>
  </si>
  <si>
    <t>7i49 manual + scope at resolver TB</t>
  </si>
  <si>
    <t>Expect ~1V RMS return on a 2:1 resolver; confirm before enabling drives.</t>
  </si>
  <si>
    <t>Check drive manuals and the 7i97T analog TB wiring.</t>
  </si>
  <si>
    <t>7i84 on 7i97T RS-422 / smart-serial expansion</t>
  </si>
  <si>
    <t>Trace the cable from the 7i84 to the 7i97T.</t>
  </si>
  <si>
    <t>Optional expansion</t>
  </si>
  <si>
    <t>Whether a second 7i84 or 7i73 is installed on day one</t>
  </si>
  <si>
    <t>Changes smart-serial port use and firmware needs.</t>
  </si>
  <si>
    <t>Reserve a smart-serial port and rail space even if not installed initially.</t>
  </si>
  <si>
    <t>7i97T bitfile with resolver support (7i97t + 7i49 + 7i84 sserial)</t>
  </si>
  <si>
    <t>mesaflash --device 7i97t --addr &lt;card-ip&gt; --list</t>
  </si>
  <si>
    <t>mesaflash --device 7i97t --addr &lt;card-ip&gt; --readhmid &gt; mesa_readhmid.txt</t>
  </si>
  <si>
    <t>hm2_7i97t.0... expected</t>
  </si>
  <si>
    <t>Load hostmot2/hm2_eth and dump pins after the card is reachable.</t>
  </si>
  <si>
    <t>halrun; loadrt hostmot2; loadrt hm2_eth board_ip=&lt;card-ip&gt; config="..."; show pin hm2</t>
  </si>
  <si>
    <t>Board name depends on the card and driver; expect hm2_7i97t rather than a PCI name.</t>
  </si>
  <si>
    <t>hm2_7i97t.0</t>
  </si>
  <si>
    <t>loadrt hm2_eth board_ip=&lt;card-ip&gt; config="... sserial_port_0=..."</t>
  </si>
  <si>
    <t>Network config</t>
  </si>
  <si>
    <t>Static IP, NIC name, and packet timing</t>
  </si>
  <si>
    <t>hm2_eth needs a dedicated NIC and a stable static IP; packet loss stops motion.</t>
  </si>
  <si>
    <t>Dedicated NIC, static IP, no switch between PC and card</t>
  </si>
  <si>
    <t>Set the static IP, run latency-histogram, and check dmesg for hm2_eth packet errors.</t>
  </si>
  <si>
    <t>ip addr; dmesg | grep hm2_eth</t>
  </si>
  <si>
    <t>All motion timing</t>
  </si>
  <si>
    <t>Do not share the NIC with a LAN or route the card through a switch.</t>
  </si>
  <si>
    <t>Mesa 7i97T Ethernet motion card (analog servo outputs, encoder/resolver host, isolated 24 V I/O)</t>
  </si>
  <si>
    <t>Ethernet motion interface from tower PC to axis drives, spindle, and core I/O</t>
  </si>
  <si>
    <t>Confirm axis drives accept analog +/-10 V, confirm 7i97T availability and firmware with resolver support</t>
  </si>
  <si>
    <t>Replaces the rejected PCIe host card. Needs a dedicated NIC and static IP; no switch between PC and card.</t>
  </si>
  <si>
    <t>Mesa 7i49 resolver interface card (plain 7i49 baseline; 7i49HV only if return level is too low)</t>
  </si>
  <si>
    <t>Reads the original Tamagawa resolvers on X/Y/Z and possibly the spindle</t>
  </si>
  <si>
    <t>Confirm the 7i49 can attach to the 7i97T expansion header; ohm winding pairs and scope return level</t>
  </si>
  <si>
    <t>Adjacent to the 7i97T, short runs to resolver TB</t>
  </si>
  <si>
    <t>5 kHz excitation, 2:1 ratio baseline. If it cannot attach to the 7i97T, a 7i80/7i92-class host is needed for this card.</t>
  </si>
  <si>
    <t>Networking</t>
  </si>
  <si>
    <t>Dedicated Ethernet NIC (if the PC lacks a spare port) plus shielded Cat5e/Cat6 patch cable</t>
  </si>
  <si>
    <t>Dedicated point-to-point link from the tower PC to the 7i97T</t>
  </si>
  <si>
    <t>Check whether the tower PC has a free NIC; measure the cable run inside the cabinet</t>
  </si>
  <si>
    <t>Tower PC to 7i97T, inside cabinet</t>
  </si>
  <si>
    <t>Do not share this NIC with a LAN and do not route through a switch.</t>
  </si>
  <si>
    <t>Shielded twisted-pair cable for analog commands and resolver sin/cos feedback</t>
  </si>
  <si>
    <t>Low-noise +/-10 V command and resolver excitation/return wiring</t>
  </si>
  <si>
    <t>Run lengths, conductor count, pair count for RESDRV/RESSIN/RESCOS</t>
  </si>
  <si>
    <t>Between drives/resolvers and the 7i97T / 7i49</t>
  </si>
  <si>
    <t>Keep resolver and analog wiring away from contactor and motor power wiring; single-point shield landing.</t>
  </si>
  <si>
    <t>Smart-serial cable (RS-422 / RJ45 style) from 7i97T to 7i84, plus a spare for the second port</t>
  </si>
  <si>
    <t>Connects the 7i97T to the 7i84 field I/O card</t>
  </si>
  <si>
    <t>Exact smart-serial connector style on both cards and the cable length limit</t>
  </si>
  <si>
    <t>7i97T to 7i84 inside cabinet</t>
  </si>
  <si>
    <t>Keep short and mechanically protected; no ribbon/IDC cabling in this architecture.</t>
  </si>
  <si>
    <t>May need a second 7i84 or a 7i73 panel interface if I/O count grows; both attach by smart-serial.</t>
  </si>
  <si>
    <t>7i49 resolver rows</t>
  </si>
  <si>
    <t>7i97T assigned rows</t>
  </si>
  <si>
    <t>7i97T_Axis_Safety</t>
  </si>
  <si>
    <t>Controllable axes, analog commands, resolver feedback, spindle motion requirements, and bring-up checks.</t>
  </si>
  <si>
    <t>One master list of all extracted inputs, outputs, analog, resolver, power, USB, and mechanical/control requirements.</t>
  </si>
  <si>
    <t>Critical motion/safety I/O intended for the 7i97T: limits, homes, drive faults, enables, estop, lube/hydraulic OK, panel controls.</t>
  </si>
  <si>
    <t>7i97T analog output assignments and 7i49 resolver channel assignments for axes and spindle.</t>
  </si>
  <si>
    <t>Selected 7i97T Ethernet cabinet-tower architecture decision and its planning impact.</t>
  </si>
  <si>
    <t>Working extraction from the available Mesa/LinuxCNC retrofit notes and cabinet terminal discussion. Architecture is a tower PC driving a 7i97T over Ethernet, resolver feedback on a 7i49, and field I/O on a 7i84. Treat yellow/verify rows as planning placeholders until measured in the cabinet or confirmed from the Mazak manual.</t>
  </si>
  <si>
    <t>Mount the tower PC where the Mazatrol rack was, with service clearance, strain relief, airflow, and a protected route for the Ethernet run to the 7i97T.</t>
  </si>
  <si>
    <t>Ethernet host means the PC location is flexible, but a short, shielded point-to-point run inside the cabinet is still preferred.</t>
  </si>
  <si>
    <t>Mount the 7i97T and 7i49 near drive/resolver wiring and the 7i84 near the green breakout PCB/field I/O area.</t>
  </si>
  <si>
    <t>Keeps analog command and resolver sin/cos runs short and bulk ATC wiring localized.</t>
  </si>
  <si>
    <t>7i97T_Axis_Safety, 7i84_ATC_Utility</t>
  </si>
  <si>
    <t>Move Mazatrol analog command, resolver, drive enable, and drive fault lines to the 7i97T / 7i49 only after terminal functions are confirmed.</t>
  </si>
  <si>
    <t>7i97T_Axis_Safety, Parts_List</t>
  </si>
  <si>
    <t>Terminate resolver/analog shields consistently at the cabinet/control end unless the drive manual says otherwise; keep 0 V returns tied to the original common/star point.</t>
  </si>
  <si>
    <t>Bring up in order: network link to the card, power and I/O visibility, resolver counts, drive enables, single-axis jogs, spindle low-speed, limits/home, then ATC dry-run.</t>
  </si>
  <si>
    <t>Separate low-level analog/resolver wiring from solenoid/contactor wiring.</t>
  </si>
  <si>
    <t>First verify resolver position readings with drives disabled.</t>
  </si>
  <si>
    <t>Confirms whether 7i97T +/-10 V outputs can directly command X/Y/Z drives.</t>
  </si>
  <si>
    <t>Mesa 7i97T final purchase and HAL scaling</t>
  </si>
  <si>
    <t>Cabinet space for PC, 7i97T, 7i49, 7i84, terminal blocks, wire duct</t>
  </si>
  <si>
    <t>Axis motor / resolver wiring</t>
  </si>
  <si>
    <t>Resolver cable connectors, labels, pickup modules, motor nameplates if reachable</t>
  </si>
  <si>
    <t>Confirms resolver type, winding pairs, pinout, and scaling path.</t>
  </si>
  <si>
    <t>axis_resolver_connectors_YYYY-MM-DD</t>
  </si>
  <si>
    <t>PE bar, 0 V common bar, shield clamp areas, analog/resolver shield landings</t>
  </si>
  <si>
    <t>Open rail length, wire duct space, door clearance around the proposed 7i97T / 7i49 / 7i84 area</t>
  </si>
  <si>
    <t>User agreed tower PC with PCIe Mesa in cabinet is the selected architecture. SUPERSEDED 2026-07-30.</t>
  </si>
  <si>
    <t>Superseded by the 2026-07-30 decision: 7i97T Ethernet host with 7i49 resolver feedback. PCIe host card rejected.</t>
  </si>
  <si>
    <t>Added Mesa firmware checklist for the cabinet-tower architecture. Rewritten 2026-07-30 for the 7i97T Ethernet host.</t>
  </si>
  <si>
    <t>Checklist focuses on photos needed to confirm the Mesa architecture, resolver wiring, and cabinet details.</t>
  </si>
  <si>
    <t>User confirmed analog resolver feedback on a 7i49 and a 7i97T Ethernet host; all 6i25 and 7i77 references removed from the workbook.</t>
  </si>
  <si>
    <t>Architecture, IO_Master, 7i97T_Axis_Safety, Motion_Axes, Analog_Encoder, Mesa_Firmware, Parts_List, Wiring_Notes and README all updated to this path.</t>
  </si>
  <si>
    <t>Second 7i84 or 7i73, or unused</t>
  </si>
  <si>
    <t>The 7i97T needs its own 24 V field power; it is not powered from the host or the smart-serial cable.</t>
  </si>
  <si>
    <t>subsystem</t>
  </si>
  <si>
    <t>function</t>
  </si>
  <si>
    <t>direction</t>
  </si>
  <si>
    <t>hal_net</t>
  </si>
  <si>
    <t>status</t>
  </si>
  <si>
    <t>notes</t>
  </si>
  <si>
    <t>signal_name</t>
  </si>
  <si>
    <t>mazak_label</t>
  </si>
  <si>
    <t>state_type</t>
  </si>
  <si>
    <t>mesa_card</t>
  </si>
  <si>
    <t>mesa_conn</t>
  </si>
  <si>
    <t>mesa_bit</t>
  </si>
  <si>
    <t>cabinet_landing</t>
  </si>
  <si>
    <t>Git_Export</t>
  </si>
  <si>
    <t>Flat one-row-per-signal mirror of IO_Master for CSV export and version control. Live formulas - do not edit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</si>
</sst>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charset val="1"/>
    </font>
    <font>
      <b/>
      <sz val="16"/>
      <color rgb="FFFFFFFF"/>
      <name val="Calibri"/>
      <charset val="1"/>
    </font>
    <font>
      <i/>
      <sz val="11"/>
      <color rgb="FF666666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b/>
      <sz val="11"/>
      <color rgb="FFFFFFFF"/>
      <name val="Calibri"/>
      <family val="2"/>
      <charset val="1"/>
    </font>
    <font>
      <sz val="11"/>
      <name val="Calibri"/>
      <family val="2"/>
    </font>
    <font>
      <b/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01696F"/>
        <bgColor rgb="FF008080"/>
      </patternFill>
    </fill>
    <fill>
      <patternFill patternType="solid">
        <fgColor rgb="FF1B474D"/>
        <bgColor rgb="FF003366"/>
      </patternFill>
    </fill>
    <fill>
      <patternFill patternType="solid">
        <fgColor rgb="FFDDEEEF"/>
        <bgColor rgb="FFE2F0D9"/>
      </patternFill>
    </fill>
    <fill>
      <patternFill patternType="solid">
        <fgColor rgb="FFE2F0D9"/>
        <bgColor rgb="FFDDEEE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DEEEF"/>
        <bgColor indexed="64"/>
      </patternFill>
    </fill>
    <fill>
      <patternFill patternType="solid">
        <fgColor rgb="FF1B474D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vertical="top" wrapText="1"/>
    </xf>
    <xf numFmtId="3" fontId="0" fillId="0" borderId="1" xfId="0" applyNumberFormat="1" applyBorder="1"/>
    <xf numFmtId="0" fontId="3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vertical="top" wrapText="1"/>
    </xf>
    <xf numFmtId="0" fontId="1" fillId="2" borderId="0" xfId="0" applyFont="1" applyFill="1" applyAlignment="1">
      <alignment horizontal="left" vertical="top" wrapText="1"/>
    </xf>
    <xf numFmtId="0" fontId="0" fillId="0" borderId="0" xfId="0"/>
    <xf numFmtId="0" fontId="1" fillId="2" borderId="0" xfId="0" applyFont="1" applyFill="1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top" wrapText="1"/>
    </xf>
    <xf numFmtId="0" fontId="5" fillId="4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horizontal="center"/>
    </xf>
    <xf numFmtId="0" fontId="7" fillId="0" borderId="1" xfId="0" applyFont="1" applyBorder="1" applyAlignment="1">
      <alignment horizontal="center" vertical="top" wrapText="1"/>
    </xf>
    <xf numFmtId="0" fontId="4" fillId="8" borderId="1" xfId="0" applyFont="1" applyFill="1" applyBorder="1" applyAlignment="1">
      <alignment horizontal="center" vertical="top" wrapText="1"/>
    </xf>
    <xf numFmtId="0" fontId="4" fillId="8" borderId="1" xfId="0" applyFont="1" applyFill="1" applyBorder="1" applyAlignment="1">
      <alignment horizontal="left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left" vertical="top" wrapText="1"/>
    </xf>
    <xf numFmtId="0" fontId="0" fillId="8" borderId="1" xfId="0" applyFill="1" applyBorder="1"/>
    <xf numFmtId="0" fontId="4" fillId="0" borderId="3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center" vertical="top" wrapText="1"/>
    </xf>
    <xf numFmtId="0" fontId="0" fillId="0" borderId="5" xfId="0" applyBorder="1"/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0" fontId="8" fillId="11" borderId="0" xfId="0" applyFont="1" applyFill="1" applyAlignment="1">
      <alignment horizontal="center"/>
    </xf>
    <xf numFmtId="0" fontId="8" fillId="0" borderId="0" xfId="0" applyFont="1"/>
    <xf numFmtId="0" fontId="6" fillId="12" borderId="1" xfId="0" applyFont="1" applyFill="1" applyBorder="1" applyAlignment="1">
      <alignment horizontal="center"/>
    </xf>
    <xf numFmtId="3" fontId="0" fillId="0" borderId="2" xfId="0" applyNumberFormat="1" applyBorder="1"/>
    <xf numFmtId="0" fontId="0" fillId="9" borderId="1" xfId="0" applyFill="1" applyBorder="1" applyAlignment="1">
      <alignment horizontal="left"/>
    </xf>
    <xf numFmtId="0" fontId="0" fillId="8" borderId="1" xfId="0" applyFill="1" applyBorder="1" applyAlignment="1">
      <alignment horizontal="left"/>
    </xf>
    <xf numFmtId="0" fontId="0" fillId="10" borderId="1" xfId="0" applyFill="1" applyBorder="1" applyAlignment="1">
      <alignment horizontal="left"/>
    </xf>
    <xf numFmtId="0" fontId="0" fillId="0" borderId="2" xfId="0" applyBorder="1" applyAlignment="1">
      <alignment horizontal="left"/>
    </xf>
    <xf numFmtId="0" fontId="7" fillId="0" borderId="1" xfId="0" applyFont="1" applyFill="1" applyBorder="1" applyAlignment="1">
      <alignment horizontal="left" vertical="top" wrapText="1"/>
    </xf>
    <xf numFmtId="0" fontId="7" fillId="0" borderId="1" xfId="0" applyFont="1" applyFill="1" applyBorder="1" applyAlignment="1">
      <alignment horizontal="center" vertical="top" wrapText="1"/>
    </xf>
    <xf numFmtId="164" fontId="0" fillId="0" borderId="1" xfId="0" applyNumberFormat="1" applyBorder="1" applyAlignment="1">
      <alignment horizontal="center"/>
    </xf>
    <xf numFmtId="0" fontId="7" fillId="0" borderId="4" xfId="0" applyFont="1" applyFill="1" applyBorder="1" applyAlignment="1">
      <alignment horizontal="left" vertical="top" wrapText="1"/>
    </xf>
  </cellXfs>
  <cellStyles count="1">
    <cellStyle name="Normal" xfId="0" builtinId="0"/>
  </cellStyles>
  <dxfs count="45"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C0C0C0"/>
      <rgbColor rgb="FF808080"/>
      <rgbColor rgb="FF9999FF"/>
      <rgbColor rgb="FF993366"/>
      <rgbColor rgb="FFFFF2CC"/>
      <rgbColor rgb="FFDDEE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74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rchitectureDecision" displayName="ArchitectureDecision" ref="B5:H12" totalsRowShown="0">
  <autoFilter ref="B5:H12" xr:uid="{00000000-0009-0000-0100-000002000000}"/>
  <tableColumns count="7">
    <tableColumn id="1" xr3:uid="{00000000-0010-0000-0100-000001000000}" name="Decision Area"/>
    <tableColumn id="2" xr3:uid="{00000000-0010-0000-0100-000002000000}" name="Selected Path"/>
    <tableColumn id="3" xr3:uid="{00000000-0010-0000-0100-000003000000}" name="Why"/>
    <tableColumn id="4" xr3:uid="{00000000-0010-0000-0100-000004000000}" name="Cabinet / Wiring Impact"/>
    <tableColumn id="5" xr3:uid="{00000000-0010-0000-0100-000005000000}" name="Workbook Impact"/>
    <tableColumn id="6" xr3:uid="{00000000-0010-0000-0100-000006000000}" name="Status"/>
    <tableColumn id="7" xr3:uid="{00000000-0010-0000-0100-000007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esaFirmwareChecklist" displayName="MesaFirmwareChecklist" ref="B5:K26" totalsRowShown="0">
  <autoFilter ref="B5:K26" xr:uid="{00000000-0009-0000-0100-000003000000}"/>
  <tableColumns count="10">
    <tableColumn id="1" xr3:uid="{00000000-0010-0000-0200-000001000000}" name="Group"/>
    <tableColumn id="2" xr3:uid="{00000000-0010-0000-0200-000002000000}" name="Item to Find / Record"/>
    <tableColumn id="3" xr3:uid="{00000000-0010-0000-0200-000003000000}" name="Why It Matters"/>
    <tableColumn id="4" xr3:uid="{00000000-0010-0000-0200-000004000000}" name="Expected / Current Plan"/>
    <tableColumn id="5" xr3:uid="{00000000-0010-0000-0200-000005000000}" name="Your Value"/>
    <tableColumn id="6" xr3:uid="{00000000-0010-0000-0200-000006000000}" name="How to Get It"/>
    <tableColumn id="7" xr3:uid="{00000000-0010-0000-0200-000007000000}" name="Command / Place to Look"/>
    <tableColumn id="8" xr3:uid="{00000000-0010-0000-0200-000008000000}" name="Blocks"/>
    <tableColumn id="9" xr3:uid="{00000000-0010-0000-0200-000009000000}" name="Status"/>
    <tableColumn id="10" xr3:uid="{00000000-0010-0000-0200-00000A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hotoChecklist" displayName="PhotoChecklist" ref="B5:H24" totalsRowShown="0">
  <autoFilter ref="B5:H24" xr:uid="{00000000-0009-0000-0100-000004000000}"/>
  <tableColumns count="7">
    <tableColumn id="1" xr3:uid="{00000000-0010-0000-0300-000001000000}" name="Priority"/>
    <tableColumn id="2" xr3:uid="{00000000-0010-0000-0300-000002000000}" name="Photo / Area"/>
    <tableColumn id="3" xr3:uid="{00000000-0010-0000-0300-000003000000}" name="What to Capture"/>
    <tableColumn id="4" xr3:uid="{00000000-0010-0000-0300-000004000000}" name="Why It Matters"/>
    <tableColumn id="5" xr3:uid="{00000000-0010-0000-0300-000005000000}" name="Suggested File Name"/>
    <tableColumn id="6" xr3:uid="{00000000-0010-0000-0300-000006000000}" name="Done"/>
    <tableColumn id="7" xr3:uid="{00000000-0010-0000-0300-000007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330071-0BC0-1943-9EA5-5D673DC20C76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7d282da5-df0e-49c3-be21-37033110e2b4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H46"/>
  <sheetViews>
    <sheetView showGridLines="0" zoomScale="130" zoomScaleNormal="13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15" sqref="D15"/>
    </sheetView>
  </sheetViews>
  <sheetFormatPr baseColWidth="10" defaultColWidth="8.6640625" defaultRowHeight="15" customHeight="1" x14ac:dyDescent="0.2"/>
  <cols>
    <col min="1" max="1" width="3" customWidth="1"/>
    <col min="2" max="2" width="174" style="14" bestFit="1" customWidth="1"/>
    <col min="3" max="3" width="136.1640625" customWidth="1"/>
  </cols>
  <sheetData>
    <row r="1" spans="2:8" ht="27.75" customHeight="1" x14ac:dyDescent="0.2"/>
    <row r="2" spans="2:8" ht="27.75" customHeight="1" x14ac:dyDescent="0.2">
      <c r="B2" s="11" t="s">
        <v>0</v>
      </c>
      <c r="C2" s="12"/>
      <c r="D2" s="12"/>
      <c r="E2" s="12"/>
      <c r="F2" s="12"/>
      <c r="G2" s="12"/>
      <c r="H2" s="12"/>
    </row>
    <row r="3" spans="2:8" ht="27.75" customHeight="1" x14ac:dyDescent="0.2">
      <c r="B3" s="15" t="s">
        <v>1348</v>
      </c>
    </row>
    <row r="4" spans="2:8" ht="27.75" customHeight="1" x14ac:dyDescent="0.2"/>
    <row r="5" spans="2:8" ht="27.75" customHeight="1" x14ac:dyDescent="0.2">
      <c r="B5" s="2" t="s">
        <v>1</v>
      </c>
      <c r="C5" s="2" t="s">
        <v>2</v>
      </c>
    </row>
    <row r="6" spans="2:8" ht="27.75" customHeight="1" x14ac:dyDescent="0.2">
      <c r="B6" s="3" t="s">
        <v>3</v>
      </c>
      <c r="C6" s="4" t="s">
        <v>1343</v>
      </c>
    </row>
    <row r="7" spans="2:8" ht="27.75" customHeight="1" x14ac:dyDescent="0.2">
      <c r="B7" s="3" t="s">
        <v>4</v>
      </c>
      <c r="C7" s="4" t="s">
        <v>1344</v>
      </c>
    </row>
    <row r="8" spans="2:8" ht="27.75" customHeight="1" x14ac:dyDescent="0.2">
      <c r="B8" s="3" t="s">
        <v>1342</v>
      </c>
      <c r="C8" s="4" t="s">
        <v>1345</v>
      </c>
    </row>
    <row r="9" spans="2:8" ht="27.75" customHeight="1" x14ac:dyDescent="0.2">
      <c r="B9" s="3" t="s">
        <v>5</v>
      </c>
      <c r="C9" s="4" t="s">
        <v>6</v>
      </c>
    </row>
    <row r="10" spans="2:8" ht="27.75" customHeight="1" x14ac:dyDescent="0.2">
      <c r="B10" s="3" t="s">
        <v>7</v>
      </c>
      <c r="C10" s="4" t="s">
        <v>1346</v>
      </c>
    </row>
    <row r="11" spans="2:8" ht="27.75" customHeight="1" x14ac:dyDescent="0.2">
      <c r="B11" s="3" t="s">
        <v>8</v>
      </c>
      <c r="C11" s="4" t="s">
        <v>9</v>
      </c>
    </row>
    <row r="12" spans="2:8" ht="27.75" customHeight="1" x14ac:dyDescent="0.2">
      <c r="B12" s="3" t="s">
        <v>10</v>
      </c>
      <c r="C12" s="4" t="s">
        <v>11</v>
      </c>
    </row>
    <row r="13" spans="2:8" ht="27.75" customHeight="1" x14ac:dyDescent="0.2">
      <c r="B13" s="3" t="s">
        <v>12</v>
      </c>
      <c r="C13" s="4" t="s">
        <v>13</v>
      </c>
    </row>
    <row r="14" spans="2:8" ht="27.75" customHeight="1" x14ac:dyDescent="0.2">
      <c r="B14" s="3" t="s">
        <v>14</v>
      </c>
      <c r="C14" s="4" t="s">
        <v>15</v>
      </c>
    </row>
    <row r="15" spans="2:8" ht="27.75" customHeight="1" x14ac:dyDescent="0.2">
      <c r="B15" s="3" t="s">
        <v>16</v>
      </c>
      <c r="C15" s="4" t="s">
        <v>17</v>
      </c>
    </row>
    <row r="16" spans="2:8" ht="68.25" customHeight="1" x14ac:dyDescent="0.2">
      <c r="B16" s="3" t="s">
        <v>18</v>
      </c>
      <c r="C16" s="5" t="s">
        <v>1347</v>
      </c>
    </row>
    <row r="17" spans="2:4" ht="15" customHeight="1" x14ac:dyDescent="0.2">
      <c r="B17" s="3" t="s">
        <v>19</v>
      </c>
      <c r="C17" s="5" t="s">
        <v>20</v>
      </c>
    </row>
    <row r="18" spans="2:4" ht="15" customHeight="1" x14ac:dyDescent="0.2">
      <c r="B18" s="3" t="s">
        <v>21</v>
      </c>
      <c r="C18" s="5" t="s">
        <v>22</v>
      </c>
    </row>
    <row r="19" spans="2:4" ht="15" customHeight="1" x14ac:dyDescent="0.2">
      <c r="B19" s="3" t="s">
        <v>1390</v>
      </c>
      <c r="C19" s="5" t="s">
        <v>1391</v>
      </c>
    </row>
    <row r="21" spans="2:4" ht="15" customHeight="1" x14ac:dyDescent="0.2">
      <c r="B21" s="16" t="s">
        <v>23</v>
      </c>
    </row>
    <row r="22" spans="2:4" ht="15" customHeight="1" x14ac:dyDescent="0.2">
      <c r="B22" s="17" t="s">
        <v>24</v>
      </c>
      <c r="C22" s="6">
        <f>COUNTA(IO_Master!B6:B200)</f>
        <v>83</v>
      </c>
    </row>
    <row r="23" spans="2:4" ht="15" customHeight="1" x14ac:dyDescent="0.2">
      <c r="B23" s="17" t="s">
        <v>1341</v>
      </c>
      <c r="C23" s="6">
        <f>COUNTIF(IO_Master!H6:H200,"7i97T")</f>
        <v>40</v>
      </c>
    </row>
    <row r="24" spans="2:4" ht="15" customHeight="1" x14ac:dyDescent="0.2">
      <c r="B24" s="17" t="s">
        <v>25</v>
      </c>
      <c r="C24" s="6">
        <f>COUNTIF(IO_Master!H6:H200,"7i84")</f>
        <v>31</v>
      </c>
    </row>
    <row r="25" spans="2:4" ht="15" customHeight="1" x14ac:dyDescent="0.2">
      <c r="B25" s="17" t="s">
        <v>1340</v>
      </c>
      <c r="C25" s="6">
        <f>COUNTIF(IO_Master!H6:H200,"7i49")</f>
        <v>4</v>
      </c>
    </row>
    <row r="26" spans="2:4" ht="15" customHeight="1" x14ac:dyDescent="0.2">
      <c r="B26" s="29" t="s">
        <v>1200</v>
      </c>
      <c r="C26" s="6">
        <f>COUNTA(IO_Master!B6:B200)-COUNTIF(IO_Master!M6:M200,$B$32)-COUNTIF(IO_Master!M6:M200,$B$39)</f>
        <v>42</v>
      </c>
    </row>
    <row r="27" spans="2:4" ht="15" customHeight="1" x14ac:dyDescent="0.2">
      <c r="B27" s="29" t="s">
        <v>26</v>
      </c>
      <c r="C27" s="6">
        <f>COUNTIF(Parts_List!E6:E100,$B$43)</f>
        <v>1</v>
      </c>
    </row>
    <row r="28" spans="2:4" ht="15" customHeight="1" x14ac:dyDescent="0.2">
      <c r="B28" s="38" t="s">
        <v>27</v>
      </c>
      <c r="C28" s="34">
        <f>COUNTIF(Parts_List!E6:E100,$B$44)+COUNTIF(Parts_List!E6:E100,$B$45)</f>
        <v>13</v>
      </c>
    </row>
    <row r="29" spans="2:4" ht="15" customHeight="1" x14ac:dyDescent="0.2">
      <c r="B29" s="29" t="s">
        <v>1201</v>
      </c>
      <c r="C29" s="6">
        <f>COUNTA(Unknowns_Measure!C6:C100)-COUNTIF(Unknowns_Measure!H6:H100,$B$32)-COUNTIF(Unknowns_Measure!H6:H100,$B$39)</f>
        <v>15</v>
      </c>
    </row>
    <row r="30" spans="2:4" ht="15" customHeight="1" x14ac:dyDescent="0.2">
      <c r="B30" s="31" t="s">
        <v>1181</v>
      </c>
    </row>
    <row r="31" spans="2:4" ht="15" customHeight="1" x14ac:dyDescent="0.2">
      <c r="B31" s="33" t="s">
        <v>34</v>
      </c>
      <c r="C31" s="33" t="s">
        <v>1182</v>
      </c>
      <c r="D31" s="33" t="s">
        <v>1183</v>
      </c>
    </row>
    <row r="32" spans="2:4" ht="15" customHeight="1" x14ac:dyDescent="0.2">
      <c r="B32" s="35" t="s">
        <v>301</v>
      </c>
      <c r="C32" s="29" t="s">
        <v>1184</v>
      </c>
      <c r="D32" s="29" t="s">
        <v>1185</v>
      </c>
    </row>
    <row r="33" spans="2:4" ht="15" customHeight="1" x14ac:dyDescent="0.2">
      <c r="B33" s="36" t="s">
        <v>279</v>
      </c>
      <c r="C33" s="29" t="s">
        <v>1186</v>
      </c>
      <c r="D33" s="29" t="s">
        <v>1187</v>
      </c>
    </row>
    <row r="34" spans="2:4" ht="15" customHeight="1" x14ac:dyDescent="0.2">
      <c r="B34" s="36" t="s">
        <v>292</v>
      </c>
      <c r="C34" s="29" t="s">
        <v>1188</v>
      </c>
      <c r="D34" s="29" t="s">
        <v>1187</v>
      </c>
    </row>
    <row r="35" spans="2:4" ht="15" customHeight="1" x14ac:dyDescent="0.2">
      <c r="B35" s="36" t="s">
        <v>947</v>
      </c>
      <c r="C35" s="29" t="s">
        <v>1189</v>
      </c>
      <c r="D35" s="29" t="s">
        <v>1187</v>
      </c>
    </row>
    <row r="36" spans="2:4" ht="15" customHeight="1" x14ac:dyDescent="0.2">
      <c r="B36" s="36" t="s">
        <v>1095</v>
      </c>
      <c r="C36" s="29" t="s">
        <v>1190</v>
      </c>
      <c r="D36" s="29" t="s">
        <v>1187</v>
      </c>
    </row>
    <row r="37" spans="2:4" ht="15" customHeight="1" x14ac:dyDescent="0.2">
      <c r="B37" s="36" t="s">
        <v>1101</v>
      </c>
      <c r="C37" s="29" t="s">
        <v>1191</v>
      </c>
      <c r="D37" s="29" t="s">
        <v>1187</v>
      </c>
    </row>
    <row r="38" spans="2:4" ht="15" customHeight="1" x14ac:dyDescent="0.2">
      <c r="B38" s="36" t="s">
        <v>1111</v>
      </c>
      <c r="C38" s="29" t="s">
        <v>1192</v>
      </c>
      <c r="D38" s="29" t="s">
        <v>1187</v>
      </c>
    </row>
    <row r="39" spans="2:4" ht="15" customHeight="1" x14ac:dyDescent="0.2">
      <c r="B39" s="37" t="s">
        <v>52</v>
      </c>
      <c r="C39" s="29" t="s">
        <v>1193</v>
      </c>
      <c r="D39" s="29" t="s">
        <v>1194</v>
      </c>
    </row>
    <row r="41" spans="2:4" ht="15" customHeight="1" x14ac:dyDescent="0.2">
      <c r="B41" s="31" t="s">
        <v>1195</v>
      </c>
    </row>
    <row r="42" spans="2:4" ht="15" customHeight="1" x14ac:dyDescent="0.2">
      <c r="B42" s="33" t="s">
        <v>173</v>
      </c>
      <c r="C42" s="33" t="s">
        <v>1182</v>
      </c>
    </row>
    <row r="43" spans="2:4" ht="15" customHeight="1" x14ac:dyDescent="0.2">
      <c r="B43" s="29" t="s">
        <v>959</v>
      </c>
      <c r="C43" s="29" t="s">
        <v>1196</v>
      </c>
    </row>
    <row r="44" spans="2:4" ht="15" customHeight="1" x14ac:dyDescent="0.2">
      <c r="B44" s="29" t="s">
        <v>923</v>
      </c>
      <c r="C44" s="29" t="s">
        <v>1197</v>
      </c>
    </row>
    <row r="45" spans="2:4" ht="15" customHeight="1" x14ac:dyDescent="0.2">
      <c r="B45" s="29" t="s">
        <v>947</v>
      </c>
      <c r="C45" s="29" t="s">
        <v>1198</v>
      </c>
    </row>
    <row r="46" spans="2:4" ht="15" customHeight="1" x14ac:dyDescent="0.2">
      <c r="B46" s="29" t="s">
        <v>52</v>
      </c>
      <c r="C46" s="29" t="s">
        <v>1199</v>
      </c>
    </row>
  </sheetData>
  <autoFilter ref="B5:C15" xr:uid="{00000000-0009-0000-0000-000000000000}"/>
  <mergeCells count="1">
    <mergeCell ref="B2:H2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I12"/>
  <sheetViews>
    <sheetView showGridLines="0" zoomScale="140" zoomScaleNormal="14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baseColWidth="10" defaultColWidth="8.6640625" defaultRowHeight="15" customHeight="1" x14ac:dyDescent="0.2"/>
  <cols>
    <col min="1" max="1" width="3" customWidth="1"/>
    <col min="2" max="2" width="48" customWidth="1"/>
    <col min="3" max="3" width="44" customWidth="1"/>
    <col min="4" max="5" width="48" customWidth="1"/>
    <col min="6" max="6" width="37" customWidth="1"/>
    <col min="7" max="7" width="12" customWidth="1"/>
    <col min="8" max="8" width="71.6640625" customWidth="1"/>
  </cols>
  <sheetData>
    <row r="1" spans="2:9" ht="33.75" customHeight="1" x14ac:dyDescent="0.2"/>
    <row r="2" spans="2:9" ht="27.75" customHeight="1" x14ac:dyDescent="0.25">
      <c r="B2" s="13" t="s">
        <v>28</v>
      </c>
      <c r="C2" s="12"/>
      <c r="D2" s="12"/>
      <c r="E2" s="12"/>
      <c r="F2" s="12"/>
      <c r="G2" s="12"/>
      <c r="H2" s="12"/>
      <c r="I2" s="12"/>
    </row>
    <row r="3" spans="2:9" ht="33.75" customHeight="1" x14ac:dyDescent="0.2">
      <c r="B3" s="1" t="s">
        <v>1222</v>
      </c>
    </row>
    <row r="4" spans="2:9" ht="33.75" customHeight="1" x14ac:dyDescent="0.2"/>
    <row r="5" spans="2:9" ht="33.75" customHeight="1" x14ac:dyDescent="0.2">
      <c r="B5" s="7" t="s">
        <v>29</v>
      </c>
      <c r="C5" s="7" t="s">
        <v>30</v>
      </c>
      <c r="D5" s="7" t="s">
        <v>31</v>
      </c>
      <c r="E5" s="7" t="s">
        <v>32</v>
      </c>
      <c r="F5" s="7" t="s">
        <v>33</v>
      </c>
      <c r="G5" s="7" t="s">
        <v>34</v>
      </c>
      <c r="H5" s="7" t="s">
        <v>35</v>
      </c>
    </row>
    <row r="6" spans="2:9" ht="33.75" customHeight="1" x14ac:dyDescent="0.2">
      <c r="B6" s="8" t="s">
        <v>36</v>
      </c>
      <c r="C6" s="8" t="s">
        <v>37</v>
      </c>
      <c r="D6" s="8" t="s">
        <v>38</v>
      </c>
      <c r="E6" s="8" t="s">
        <v>39</v>
      </c>
      <c r="F6" s="8" t="s">
        <v>40</v>
      </c>
      <c r="G6" s="8" t="s">
        <v>41</v>
      </c>
      <c r="H6" s="8" t="s">
        <v>42</v>
      </c>
    </row>
    <row r="7" spans="2:9" ht="33.75" customHeight="1" x14ac:dyDescent="0.2">
      <c r="B7" s="8" t="s">
        <v>43</v>
      </c>
      <c r="C7" s="8" t="s">
        <v>1223</v>
      </c>
      <c r="D7" s="8" t="s">
        <v>1224</v>
      </c>
      <c r="E7" s="8" t="s">
        <v>1225</v>
      </c>
      <c r="F7" s="8" t="s">
        <v>1226</v>
      </c>
      <c r="G7" s="8" t="s">
        <v>41</v>
      </c>
      <c r="H7" s="8" t="s">
        <v>1227</v>
      </c>
    </row>
    <row r="8" spans="2:9" ht="33.75" customHeight="1" x14ac:dyDescent="0.2">
      <c r="B8" s="8" t="s">
        <v>44</v>
      </c>
      <c r="C8" s="8" t="s">
        <v>1228</v>
      </c>
      <c r="D8" s="8" t="s">
        <v>1229</v>
      </c>
      <c r="E8" s="8" t="s">
        <v>1230</v>
      </c>
      <c r="F8" s="8" t="s">
        <v>1231</v>
      </c>
      <c r="G8" s="8" t="s">
        <v>41</v>
      </c>
      <c r="H8" s="8" t="s">
        <v>1232</v>
      </c>
    </row>
    <row r="9" spans="2:9" ht="33.75" customHeight="1" x14ac:dyDescent="0.2">
      <c r="B9" s="8" t="s">
        <v>45</v>
      </c>
      <c r="C9" s="8" t="s">
        <v>46</v>
      </c>
      <c r="D9" s="8" t="s">
        <v>47</v>
      </c>
      <c r="E9" s="8" t="s">
        <v>48</v>
      </c>
      <c r="F9" s="8" t="s">
        <v>49</v>
      </c>
      <c r="G9" s="8" t="s">
        <v>41</v>
      </c>
      <c r="H9" s="8" t="s">
        <v>50</v>
      </c>
    </row>
    <row r="10" spans="2:9" ht="33.75" customHeight="1" x14ac:dyDescent="0.2">
      <c r="B10" s="9" t="s">
        <v>51</v>
      </c>
      <c r="C10" s="9" t="s">
        <v>1233</v>
      </c>
      <c r="D10" s="9" t="s">
        <v>1234</v>
      </c>
      <c r="E10" s="9" t="s">
        <v>1235</v>
      </c>
      <c r="F10" s="9" t="s">
        <v>1236</v>
      </c>
      <c r="G10" s="9" t="s">
        <v>52</v>
      </c>
      <c r="H10" s="9" t="s">
        <v>53</v>
      </c>
    </row>
    <row r="11" spans="2:9" ht="33.75" customHeight="1" x14ac:dyDescent="0.2">
      <c r="B11" s="9" t="s">
        <v>54</v>
      </c>
      <c r="C11" s="9" t="s">
        <v>55</v>
      </c>
      <c r="D11" s="9" t="s">
        <v>56</v>
      </c>
      <c r="E11" s="9" t="s">
        <v>57</v>
      </c>
      <c r="F11" s="9" t="s">
        <v>58</v>
      </c>
      <c r="G11" s="9" t="s">
        <v>52</v>
      </c>
      <c r="H11" s="9" t="s">
        <v>59</v>
      </c>
    </row>
    <row r="12" spans="2:9" ht="33.75" customHeight="1" x14ac:dyDescent="0.2">
      <c r="B12" s="9" t="s">
        <v>1240</v>
      </c>
      <c r="C12" s="9" t="s">
        <v>1241</v>
      </c>
      <c r="D12" s="9" t="s">
        <v>1237</v>
      </c>
      <c r="E12" s="9" t="s">
        <v>1238</v>
      </c>
      <c r="F12" s="9" t="s">
        <v>60</v>
      </c>
      <c r="G12" s="9" t="s">
        <v>61</v>
      </c>
      <c r="H12" s="9" t="s">
        <v>1239</v>
      </c>
    </row>
  </sheetData>
  <mergeCells count="1">
    <mergeCell ref="B2:I2"/>
  </mergeCells>
  <pageMargins left="0.75" right="0.75" top="1" bottom="1" header="0.511811023622047" footer="0.511811023622047"/>
  <pageSetup fitToHeight="0" orientation="landscape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K26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baseColWidth="10" defaultColWidth="8.6640625" defaultRowHeight="15" customHeight="1" x14ac:dyDescent="0.2"/>
  <cols>
    <col min="1" max="1" width="3" customWidth="1"/>
    <col min="2" max="2" width="18" customWidth="1"/>
    <col min="3" max="3" width="32" customWidth="1"/>
    <col min="4" max="4" width="38" customWidth="1"/>
    <col min="5" max="5" width="32" customWidth="1"/>
    <col min="6" max="6" width="24" customWidth="1"/>
    <col min="7" max="7" width="36" customWidth="1"/>
    <col min="8" max="8" width="38" customWidth="1"/>
    <col min="9" max="9" width="24" customWidth="1"/>
    <col min="10" max="10" width="16" customWidth="1"/>
    <col min="11" max="11" width="36" customWidth="1"/>
  </cols>
  <sheetData>
    <row r="1" spans="2:11" ht="42" customHeight="1" x14ac:dyDescent="0.2"/>
    <row r="2" spans="2:11" ht="27.75" customHeight="1" x14ac:dyDescent="0.25">
      <c r="B2" s="13" t="s">
        <v>62</v>
      </c>
      <c r="C2" s="12"/>
      <c r="D2" s="12"/>
      <c r="E2" s="12"/>
      <c r="F2" s="12"/>
      <c r="G2" s="12"/>
      <c r="H2" s="12"/>
      <c r="I2" s="12"/>
      <c r="J2" s="12"/>
      <c r="K2" s="12"/>
    </row>
    <row r="3" spans="2:11" ht="42" customHeight="1" x14ac:dyDescent="0.2">
      <c r="B3" s="1" t="s">
        <v>63</v>
      </c>
    </row>
    <row r="4" spans="2:11" ht="42" customHeight="1" x14ac:dyDescent="0.2"/>
    <row r="5" spans="2:11" ht="42" customHeight="1" x14ac:dyDescent="0.2">
      <c r="B5" s="7" t="s">
        <v>64</v>
      </c>
      <c r="C5" s="7" t="s">
        <v>65</v>
      </c>
      <c r="D5" s="7" t="s">
        <v>66</v>
      </c>
      <c r="E5" s="7" t="s">
        <v>67</v>
      </c>
      <c r="F5" s="7" t="s">
        <v>68</v>
      </c>
      <c r="G5" s="7" t="s">
        <v>69</v>
      </c>
      <c r="H5" s="7" t="s">
        <v>70</v>
      </c>
      <c r="I5" s="7" t="s">
        <v>71</v>
      </c>
      <c r="J5" s="7" t="s">
        <v>34</v>
      </c>
      <c r="K5" s="7" t="s">
        <v>35</v>
      </c>
    </row>
    <row r="6" spans="2:11" ht="42" customHeight="1" x14ac:dyDescent="0.2">
      <c r="B6" s="9" t="s">
        <v>72</v>
      </c>
      <c r="C6" s="9" t="s">
        <v>73</v>
      </c>
      <c r="D6" s="9" t="s">
        <v>74</v>
      </c>
      <c r="E6" s="9" t="s">
        <v>1261</v>
      </c>
      <c r="F6" s="9"/>
      <c r="G6" s="9" t="s">
        <v>75</v>
      </c>
      <c r="H6" s="9" t="s">
        <v>1262</v>
      </c>
      <c r="I6" s="9" t="s">
        <v>76</v>
      </c>
      <c r="J6" s="9" t="s">
        <v>77</v>
      </c>
      <c r="K6" s="9" t="s">
        <v>1263</v>
      </c>
    </row>
    <row r="7" spans="2:11" ht="42" customHeight="1" x14ac:dyDescent="0.2">
      <c r="B7" s="9" t="s">
        <v>72</v>
      </c>
      <c r="C7" s="9" t="s">
        <v>1264</v>
      </c>
      <c r="D7" s="9" t="s">
        <v>1265</v>
      </c>
      <c r="E7" s="9" t="s">
        <v>78</v>
      </c>
      <c r="F7" s="9"/>
      <c r="G7" s="9" t="s">
        <v>1266</v>
      </c>
      <c r="H7" s="9" t="s">
        <v>1267</v>
      </c>
      <c r="I7" s="9" t="s">
        <v>79</v>
      </c>
      <c r="J7" s="9" t="s">
        <v>77</v>
      </c>
      <c r="K7" s="9" t="s">
        <v>80</v>
      </c>
    </row>
    <row r="8" spans="2:11" ht="42" customHeight="1" x14ac:dyDescent="0.2">
      <c r="B8" s="9" t="s">
        <v>81</v>
      </c>
      <c r="C8" s="9" t="s">
        <v>1268</v>
      </c>
      <c r="D8" s="9" t="s">
        <v>1269</v>
      </c>
      <c r="E8" s="9" t="s">
        <v>1270</v>
      </c>
      <c r="F8" s="9"/>
      <c r="G8" s="9" t="s">
        <v>1271</v>
      </c>
      <c r="H8" s="9" t="s">
        <v>1272</v>
      </c>
      <c r="I8" s="9" t="s">
        <v>1273</v>
      </c>
      <c r="J8" s="9" t="s">
        <v>77</v>
      </c>
      <c r="K8" s="9" t="s">
        <v>1274</v>
      </c>
    </row>
    <row r="9" spans="2:11" ht="42" customHeight="1" x14ac:dyDescent="0.2">
      <c r="B9" s="9" t="s">
        <v>81</v>
      </c>
      <c r="C9" s="9" t="s">
        <v>1275</v>
      </c>
      <c r="D9" s="9" t="s">
        <v>1276</v>
      </c>
      <c r="E9" s="9" t="s">
        <v>1375</v>
      </c>
      <c r="F9" s="9"/>
      <c r="G9" s="9" t="s">
        <v>1277</v>
      </c>
      <c r="H9" s="9" t="s">
        <v>82</v>
      </c>
      <c r="I9" s="9" t="s">
        <v>83</v>
      </c>
      <c r="J9" s="9" t="s">
        <v>77</v>
      </c>
      <c r="K9" s="9" t="s">
        <v>1278</v>
      </c>
    </row>
    <row r="10" spans="2:11" ht="42" customHeight="1" x14ac:dyDescent="0.2">
      <c r="B10" s="9" t="s">
        <v>1202</v>
      </c>
      <c r="C10" s="9" t="s">
        <v>1279</v>
      </c>
      <c r="D10" s="9" t="s">
        <v>1280</v>
      </c>
      <c r="E10" s="9" t="s">
        <v>1281</v>
      </c>
      <c r="F10" s="9"/>
      <c r="G10" s="9" t="s">
        <v>84</v>
      </c>
      <c r="H10" s="9" t="s">
        <v>85</v>
      </c>
      <c r="I10" s="9" t="s">
        <v>86</v>
      </c>
      <c r="J10" s="9" t="s">
        <v>77</v>
      </c>
      <c r="K10" s="9" t="s">
        <v>87</v>
      </c>
    </row>
    <row r="11" spans="2:11" ht="42" customHeight="1" x14ac:dyDescent="0.2">
      <c r="B11" s="9" t="s">
        <v>1202</v>
      </c>
      <c r="C11" s="9" t="s">
        <v>1282</v>
      </c>
      <c r="D11" s="9" t="s">
        <v>88</v>
      </c>
      <c r="E11" s="9" t="s">
        <v>89</v>
      </c>
      <c r="F11" s="9"/>
      <c r="G11" s="9" t="s">
        <v>90</v>
      </c>
      <c r="H11" s="9" t="s">
        <v>1283</v>
      </c>
      <c r="I11" s="9" t="s">
        <v>91</v>
      </c>
      <c r="J11" s="9" t="s">
        <v>77</v>
      </c>
      <c r="K11" s="9" t="s">
        <v>1376</v>
      </c>
    </row>
    <row r="12" spans="2:11" ht="42" customHeight="1" x14ac:dyDescent="0.2">
      <c r="B12" s="9" t="s">
        <v>793</v>
      </c>
      <c r="C12" s="9" t="s">
        <v>1284</v>
      </c>
      <c r="D12" s="9" t="s">
        <v>1285</v>
      </c>
      <c r="E12" s="9" t="s">
        <v>1286</v>
      </c>
      <c r="F12" s="9"/>
      <c r="G12" s="9" t="s">
        <v>1287</v>
      </c>
      <c r="H12" s="9" t="s">
        <v>1288</v>
      </c>
      <c r="I12" s="9" t="s">
        <v>92</v>
      </c>
      <c r="J12" s="9" t="s">
        <v>77</v>
      </c>
      <c r="K12" s="9" t="s">
        <v>1289</v>
      </c>
    </row>
    <row r="13" spans="2:11" ht="42" customHeight="1" x14ac:dyDescent="0.2">
      <c r="B13" s="9" t="s">
        <v>1202</v>
      </c>
      <c r="C13" s="9" t="s">
        <v>93</v>
      </c>
      <c r="D13" s="9" t="s">
        <v>94</v>
      </c>
      <c r="E13" s="9" t="s">
        <v>95</v>
      </c>
      <c r="F13" s="9"/>
      <c r="G13" s="9" t="s">
        <v>1290</v>
      </c>
      <c r="H13" s="9" t="s">
        <v>96</v>
      </c>
      <c r="I13" s="9" t="s">
        <v>97</v>
      </c>
      <c r="J13" s="9" t="s">
        <v>77</v>
      </c>
      <c r="K13" s="9" t="s">
        <v>98</v>
      </c>
    </row>
    <row r="14" spans="2:11" ht="42" customHeight="1" x14ac:dyDescent="0.2">
      <c r="B14" s="9" t="s">
        <v>99</v>
      </c>
      <c r="C14" s="9" t="s">
        <v>100</v>
      </c>
      <c r="D14" s="9" t="s">
        <v>101</v>
      </c>
      <c r="E14" s="9" t="s">
        <v>1291</v>
      </c>
      <c r="F14" s="9"/>
      <c r="G14" s="9" t="s">
        <v>1292</v>
      </c>
      <c r="H14" s="9" t="s">
        <v>102</v>
      </c>
      <c r="I14" s="9" t="s">
        <v>103</v>
      </c>
      <c r="J14" s="9" t="s">
        <v>77</v>
      </c>
      <c r="K14" s="9" t="s">
        <v>104</v>
      </c>
    </row>
    <row r="15" spans="2:11" ht="42" customHeight="1" x14ac:dyDescent="0.2">
      <c r="B15" s="9" t="s">
        <v>99</v>
      </c>
      <c r="C15" s="9" t="s">
        <v>105</v>
      </c>
      <c r="D15" s="9" t="s">
        <v>106</v>
      </c>
      <c r="E15" s="9" t="s">
        <v>107</v>
      </c>
      <c r="F15" s="9"/>
      <c r="G15" s="9" t="s">
        <v>108</v>
      </c>
      <c r="H15" s="9" t="s">
        <v>85</v>
      </c>
      <c r="I15" s="9" t="s">
        <v>109</v>
      </c>
      <c r="J15" s="9" t="s">
        <v>77</v>
      </c>
      <c r="K15" s="9" t="s">
        <v>110</v>
      </c>
    </row>
    <row r="16" spans="2:11" ht="42" customHeight="1" x14ac:dyDescent="0.2">
      <c r="B16" s="9" t="s">
        <v>99</v>
      </c>
      <c r="C16" s="9" t="s">
        <v>111</v>
      </c>
      <c r="D16" s="9" t="s">
        <v>112</v>
      </c>
      <c r="E16" s="9" t="s">
        <v>113</v>
      </c>
      <c r="F16" s="9"/>
      <c r="G16" s="9" t="s">
        <v>114</v>
      </c>
      <c r="H16" s="9" t="s">
        <v>115</v>
      </c>
      <c r="I16" s="9" t="s">
        <v>116</v>
      </c>
      <c r="J16" s="9" t="s">
        <v>77</v>
      </c>
      <c r="K16" s="9" t="s">
        <v>117</v>
      </c>
    </row>
    <row r="17" spans="2:11" ht="42" customHeight="1" x14ac:dyDescent="0.2">
      <c r="B17" s="4" t="s">
        <v>1293</v>
      </c>
      <c r="C17" s="4" t="s">
        <v>1294</v>
      </c>
      <c r="D17" s="4" t="s">
        <v>1295</v>
      </c>
      <c r="E17" s="4" t="s">
        <v>118</v>
      </c>
      <c r="F17" s="4"/>
      <c r="G17" s="4" t="s">
        <v>119</v>
      </c>
      <c r="H17" s="4" t="s">
        <v>120</v>
      </c>
      <c r="I17" s="4" t="s">
        <v>121</v>
      </c>
      <c r="J17" s="4" t="s">
        <v>52</v>
      </c>
      <c r="K17" s="4" t="s">
        <v>1296</v>
      </c>
    </row>
    <row r="18" spans="2:11" ht="42" customHeight="1" x14ac:dyDescent="0.2">
      <c r="B18" s="9" t="s">
        <v>122</v>
      </c>
      <c r="C18" s="9" t="s">
        <v>123</v>
      </c>
      <c r="D18" s="9" t="s">
        <v>124</v>
      </c>
      <c r="E18" s="9" t="s">
        <v>1297</v>
      </c>
      <c r="F18" s="9"/>
      <c r="G18" s="9" t="s">
        <v>125</v>
      </c>
      <c r="H18" s="9" t="s">
        <v>1298</v>
      </c>
      <c r="I18" s="9" t="s">
        <v>126</v>
      </c>
      <c r="J18" s="9" t="s">
        <v>77</v>
      </c>
      <c r="K18" s="9" t="s">
        <v>127</v>
      </c>
    </row>
    <row r="19" spans="2:11" ht="42" customHeight="1" x14ac:dyDescent="0.2">
      <c r="B19" s="9" t="s">
        <v>122</v>
      </c>
      <c r="C19" s="9" t="s">
        <v>128</v>
      </c>
      <c r="D19" s="9" t="s">
        <v>129</v>
      </c>
      <c r="E19" s="9" t="s">
        <v>130</v>
      </c>
      <c r="F19" s="9"/>
      <c r="G19" s="9" t="s">
        <v>131</v>
      </c>
      <c r="H19" s="9" t="s">
        <v>1299</v>
      </c>
      <c r="I19" s="9" t="s">
        <v>126</v>
      </c>
      <c r="J19" s="9" t="s">
        <v>77</v>
      </c>
      <c r="K19" s="9" t="s">
        <v>132</v>
      </c>
    </row>
    <row r="20" spans="2:11" ht="42" customHeight="1" x14ac:dyDescent="0.2">
      <c r="B20" s="9" t="s">
        <v>122</v>
      </c>
      <c r="C20" s="9" t="s">
        <v>133</v>
      </c>
      <c r="D20" s="9" t="s">
        <v>134</v>
      </c>
      <c r="E20" s="9" t="s">
        <v>135</v>
      </c>
      <c r="F20" s="9"/>
      <c r="G20" s="9" t="s">
        <v>136</v>
      </c>
      <c r="H20" s="9" t="s">
        <v>137</v>
      </c>
      <c r="I20" s="9" t="s">
        <v>138</v>
      </c>
      <c r="J20" s="9" t="s">
        <v>139</v>
      </c>
      <c r="K20" s="9" t="s">
        <v>140</v>
      </c>
    </row>
    <row r="21" spans="2:11" ht="42" customHeight="1" x14ac:dyDescent="0.2">
      <c r="B21" s="9" t="s">
        <v>141</v>
      </c>
      <c r="C21" s="9" t="s">
        <v>142</v>
      </c>
      <c r="D21" s="9" t="s">
        <v>143</v>
      </c>
      <c r="E21" s="9" t="s">
        <v>1300</v>
      </c>
      <c r="F21" s="9"/>
      <c r="G21" s="9" t="s">
        <v>1301</v>
      </c>
      <c r="H21" s="9" t="s">
        <v>1302</v>
      </c>
      <c r="I21" s="9" t="s">
        <v>144</v>
      </c>
      <c r="J21" s="9" t="s">
        <v>77</v>
      </c>
      <c r="K21" s="9" t="s">
        <v>145</v>
      </c>
    </row>
    <row r="22" spans="2:11" ht="42" customHeight="1" x14ac:dyDescent="0.2">
      <c r="B22" s="9" t="s">
        <v>141</v>
      </c>
      <c r="C22" s="9" t="s">
        <v>146</v>
      </c>
      <c r="D22" s="9" t="s">
        <v>1303</v>
      </c>
      <c r="E22" s="9" t="s">
        <v>1304</v>
      </c>
      <c r="F22" s="9"/>
      <c r="G22" s="9" t="s">
        <v>147</v>
      </c>
      <c r="H22" s="9" t="s">
        <v>148</v>
      </c>
      <c r="I22" s="9" t="s">
        <v>149</v>
      </c>
      <c r="J22" s="9" t="s">
        <v>77</v>
      </c>
      <c r="K22" s="9" t="s">
        <v>150</v>
      </c>
    </row>
    <row r="23" spans="2:11" ht="42" customHeight="1" x14ac:dyDescent="0.2">
      <c r="B23" s="9" t="s">
        <v>141</v>
      </c>
      <c r="C23" s="9" t="s">
        <v>151</v>
      </c>
      <c r="D23" s="9" t="s">
        <v>152</v>
      </c>
      <c r="E23" s="9" t="s">
        <v>153</v>
      </c>
      <c r="F23" s="9"/>
      <c r="G23" s="9" t="s">
        <v>154</v>
      </c>
      <c r="H23" s="9" t="s">
        <v>1305</v>
      </c>
      <c r="I23" s="9" t="s">
        <v>155</v>
      </c>
      <c r="J23" s="9" t="s">
        <v>77</v>
      </c>
      <c r="K23" s="9" t="s">
        <v>156</v>
      </c>
    </row>
    <row r="24" spans="2:11" ht="42" customHeight="1" x14ac:dyDescent="0.2">
      <c r="B24" s="8" t="s">
        <v>1306</v>
      </c>
      <c r="C24" s="8" t="s">
        <v>1307</v>
      </c>
      <c r="D24" s="8" t="s">
        <v>1308</v>
      </c>
      <c r="E24" s="8" t="s">
        <v>1309</v>
      </c>
      <c r="F24" s="8"/>
      <c r="G24" s="8" t="s">
        <v>1310</v>
      </c>
      <c r="H24" s="8" t="s">
        <v>1311</v>
      </c>
      <c r="I24" s="8" t="s">
        <v>1312</v>
      </c>
      <c r="J24" s="8" t="s">
        <v>77</v>
      </c>
      <c r="K24" s="8" t="s">
        <v>1313</v>
      </c>
    </row>
    <row r="25" spans="2:11" ht="42" customHeight="1" x14ac:dyDescent="0.2">
      <c r="B25" s="9" t="s">
        <v>159</v>
      </c>
      <c r="C25" s="9" t="s">
        <v>160</v>
      </c>
      <c r="D25" s="9" t="s">
        <v>161</v>
      </c>
      <c r="E25" s="9" t="s">
        <v>162</v>
      </c>
      <c r="F25" s="9"/>
      <c r="G25" s="9" t="s">
        <v>163</v>
      </c>
      <c r="H25" s="9" t="s">
        <v>1299</v>
      </c>
      <c r="I25" s="9" t="s">
        <v>164</v>
      </c>
      <c r="J25" s="9" t="s">
        <v>77</v>
      </c>
      <c r="K25" s="9" t="s">
        <v>165</v>
      </c>
    </row>
    <row r="26" spans="2:11" ht="42" customHeight="1" x14ac:dyDescent="0.2">
      <c r="B26" s="9" t="s">
        <v>159</v>
      </c>
      <c r="C26" s="9" t="s">
        <v>166</v>
      </c>
      <c r="D26" s="9" t="s">
        <v>167</v>
      </c>
      <c r="E26" s="9" t="s">
        <v>162</v>
      </c>
      <c r="F26" s="9"/>
      <c r="G26" s="9" t="s">
        <v>168</v>
      </c>
      <c r="H26" s="9" t="s">
        <v>169</v>
      </c>
      <c r="I26" s="9" t="s">
        <v>164</v>
      </c>
      <c r="J26" s="9" t="s">
        <v>77</v>
      </c>
      <c r="K26" s="9" t="s">
        <v>170</v>
      </c>
    </row>
  </sheetData>
  <mergeCells count="1">
    <mergeCell ref="B2:K2"/>
  </mergeCells>
  <dataValidations count="1">
    <dataValidation type="list" allowBlank="1" sqref="J6:J26" xr:uid="{00000000-0002-0000-0200-000000000000}">
      <formula1>"Required,Recommended,Optional,Done,Blocked,Not needed"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I24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baseColWidth="10" defaultColWidth="8.6640625" defaultRowHeight="15" customHeight="1" x14ac:dyDescent="0.2"/>
  <cols>
    <col min="1" max="1" width="3" customWidth="1"/>
    <col min="2" max="2" width="12" customWidth="1"/>
    <col min="3" max="3" width="28" customWidth="1"/>
    <col min="4" max="4" width="46" customWidth="1"/>
    <col min="5" max="5" width="44" customWidth="1"/>
    <col min="6" max="6" width="34" customWidth="1"/>
    <col min="7" max="7" width="16" customWidth="1"/>
    <col min="8" max="8" width="36" customWidth="1"/>
  </cols>
  <sheetData>
    <row r="1" spans="2:9" ht="42" customHeight="1" x14ac:dyDescent="0.2"/>
    <row r="2" spans="2:9" ht="27.75" customHeight="1" x14ac:dyDescent="0.25">
      <c r="B2" s="13" t="s">
        <v>171</v>
      </c>
      <c r="C2" s="12"/>
      <c r="D2" s="12"/>
      <c r="E2" s="12"/>
      <c r="F2" s="12"/>
      <c r="G2" s="12"/>
      <c r="H2" s="12"/>
      <c r="I2" s="12"/>
    </row>
    <row r="3" spans="2:9" ht="42" customHeight="1" x14ac:dyDescent="0.2">
      <c r="B3" s="1" t="s">
        <v>172</v>
      </c>
    </row>
    <row r="4" spans="2:9" ht="42" customHeight="1" x14ac:dyDescent="0.2"/>
    <row r="5" spans="2:9" ht="42" customHeight="1" x14ac:dyDescent="0.2">
      <c r="B5" s="7" t="s">
        <v>173</v>
      </c>
      <c r="C5" s="7" t="s">
        <v>174</v>
      </c>
      <c r="D5" s="7" t="s">
        <v>175</v>
      </c>
      <c r="E5" s="7" t="s">
        <v>66</v>
      </c>
      <c r="F5" s="7" t="s">
        <v>176</v>
      </c>
      <c r="G5" s="7" t="s">
        <v>158</v>
      </c>
      <c r="H5" s="7" t="s">
        <v>35</v>
      </c>
    </row>
    <row r="6" spans="2:9" ht="42" customHeight="1" x14ac:dyDescent="0.2">
      <c r="B6" s="10" t="s">
        <v>177</v>
      </c>
      <c r="C6" s="10" t="s">
        <v>178</v>
      </c>
      <c r="D6" s="10" t="s">
        <v>179</v>
      </c>
      <c r="E6" s="10" t="s">
        <v>180</v>
      </c>
      <c r="F6" s="10" t="s">
        <v>181</v>
      </c>
      <c r="G6" s="10"/>
      <c r="H6" s="10" t="s">
        <v>182</v>
      </c>
    </row>
    <row r="7" spans="2:9" ht="42" customHeight="1" x14ac:dyDescent="0.2">
      <c r="B7" s="10" t="s">
        <v>177</v>
      </c>
      <c r="C7" s="10" t="s">
        <v>183</v>
      </c>
      <c r="D7" s="10" t="s">
        <v>184</v>
      </c>
      <c r="E7" s="10" t="s">
        <v>185</v>
      </c>
      <c r="F7" s="10" t="s">
        <v>186</v>
      </c>
      <c r="G7" s="10"/>
      <c r="H7" s="10" t="s">
        <v>187</v>
      </c>
    </row>
    <row r="8" spans="2:9" ht="42" customHeight="1" x14ac:dyDescent="0.2">
      <c r="B8" s="10" t="s">
        <v>177</v>
      </c>
      <c r="C8" s="10" t="s">
        <v>188</v>
      </c>
      <c r="D8" s="10" t="s">
        <v>189</v>
      </c>
      <c r="E8" s="10" t="s">
        <v>190</v>
      </c>
      <c r="F8" s="10" t="s">
        <v>191</v>
      </c>
      <c r="G8" s="10"/>
      <c r="H8" s="10" t="s">
        <v>192</v>
      </c>
    </row>
    <row r="9" spans="2:9" ht="42" customHeight="1" x14ac:dyDescent="0.2">
      <c r="B9" s="10" t="s">
        <v>177</v>
      </c>
      <c r="C9" s="10" t="s">
        <v>1363</v>
      </c>
      <c r="D9" s="10" t="s">
        <v>1364</v>
      </c>
      <c r="E9" s="10" t="s">
        <v>1365</v>
      </c>
      <c r="F9" s="10" t="s">
        <v>1366</v>
      </c>
      <c r="G9" s="10"/>
      <c r="H9" s="10" t="s">
        <v>193</v>
      </c>
    </row>
    <row r="10" spans="2:9" ht="42" customHeight="1" x14ac:dyDescent="0.2">
      <c r="B10" s="10" t="s">
        <v>177</v>
      </c>
      <c r="C10" s="10" t="s">
        <v>194</v>
      </c>
      <c r="D10" s="10" t="s">
        <v>195</v>
      </c>
      <c r="E10" s="10" t="s">
        <v>196</v>
      </c>
      <c r="F10" s="10" t="s">
        <v>197</v>
      </c>
      <c r="G10" s="10"/>
      <c r="H10" s="10" t="s">
        <v>198</v>
      </c>
    </row>
    <row r="11" spans="2:9" ht="42" customHeight="1" x14ac:dyDescent="0.2">
      <c r="B11" s="10" t="s">
        <v>177</v>
      </c>
      <c r="C11" s="10" t="s">
        <v>199</v>
      </c>
      <c r="D11" s="10" t="s">
        <v>200</v>
      </c>
      <c r="E11" s="10" t="s">
        <v>201</v>
      </c>
      <c r="F11" s="10" t="s">
        <v>202</v>
      </c>
      <c r="G11" s="10"/>
      <c r="H11" s="10" t="s">
        <v>203</v>
      </c>
    </row>
    <row r="12" spans="2:9" ht="42" customHeight="1" x14ac:dyDescent="0.2">
      <c r="B12" s="10" t="s">
        <v>177</v>
      </c>
      <c r="C12" s="10" t="s">
        <v>204</v>
      </c>
      <c r="D12" s="10" t="s">
        <v>205</v>
      </c>
      <c r="E12" s="10" t="s">
        <v>206</v>
      </c>
      <c r="F12" s="10" t="s">
        <v>207</v>
      </c>
      <c r="G12" s="10"/>
      <c r="H12" s="10" t="s">
        <v>208</v>
      </c>
    </row>
    <row r="13" spans="2:9" ht="42" customHeight="1" x14ac:dyDescent="0.2">
      <c r="B13" s="10" t="s">
        <v>177</v>
      </c>
      <c r="C13" s="10" t="s">
        <v>209</v>
      </c>
      <c r="D13" s="10" t="s">
        <v>210</v>
      </c>
      <c r="E13" s="10" t="s">
        <v>211</v>
      </c>
      <c r="F13" s="10" t="s">
        <v>212</v>
      </c>
      <c r="G13" s="10"/>
      <c r="H13" s="10" t="s">
        <v>213</v>
      </c>
    </row>
    <row r="14" spans="2:9" ht="42" customHeight="1" x14ac:dyDescent="0.2">
      <c r="B14" s="10" t="s">
        <v>177</v>
      </c>
      <c r="C14" s="10" t="s">
        <v>214</v>
      </c>
      <c r="D14" s="10" t="s">
        <v>215</v>
      </c>
      <c r="E14" s="10" t="s">
        <v>216</v>
      </c>
      <c r="F14" s="10" t="s">
        <v>217</v>
      </c>
      <c r="G14" s="10"/>
      <c r="H14" s="10" t="s">
        <v>218</v>
      </c>
    </row>
    <row r="15" spans="2:9" ht="42" customHeight="1" x14ac:dyDescent="0.2">
      <c r="B15" s="10" t="s">
        <v>177</v>
      </c>
      <c r="C15" s="10" t="s">
        <v>219</v>
      </c>
      <c r="D15" s="10" t="s">
        <v>220</v>
      </c>
      <c r="E15" s="10" t="s">
        <v>221</v>
      </c>
      <c r="F15" s="10" t="s">
        <v>222</v>
      </c>
      <c r="G15" s="10"/>
      <c r="H15" s="10" t="s">
        <v>223</v>
      </c>
    </row>
    <row r="16" spans="2:9" ht="42" customHeight="1" x14ac:dyDescent="0.2">
      <c r="B16" s="9" t="s">
        <v>224</v>
      </c>
      <c r="C16" s="9" t="s">
        <v>225</v>
      </c>
      <c r="D16" s="9" t="s">
        <v>226</v>
      </c>
      <c r="E16" s="9" t="s">
        <v>227</v>
      </c>
      <c r="F16" s="9" t="s">
        <v>228</v>
      </c>
      <c r="G16" s="9"/>
      <c r="H16" s="9" t="s">
        <v>229</v>
      </c>
    </row>
    <row r="17" spans="2:8" ht="42" customHeight="1" x14ac:dyDescent="0.2">
      <c r="B17" s="9" t="s">
        <v>224</v>
      </c>
      <c r="C17" s="9" t="s">
        <v>230</v>
      </c>
      <c r="D17" s="9" t="s">
        <v>231</v>
      </c>
      <c r="E17" s="9" t="s">
        <v>232</v>
      </c>
      <c r="F17" s="9" t="s">
        <v>233</v>
      </c>
      <c r="G17" s="9"/>
      <c r="H17" s="9"/>
    </row>
    <row r="18" spans="2:8" ht="42" customHeight="1" x14ac:dyDescent="0.2">
      <c r="B18" s="9" t="s">
        <v>224</v>
      </c>
      <c r="C18" s="9" t="s">
        <v>234</v>
      </c>
      <c r="D18" s="9" t="s">
        <v>235</v>
      </c>
      <c r="E18" s="9" t="s">
        <v>236</v>
      </c>
      <c r="F18" s="9" t="s">
        <v>237</v>
      </c>
      <c r="G18" s="9"/>
      <c r="H18" s="9" t="s">
        <v>238</v>
      </c>
    </row>
    <row r="19" spans="2:8" ht="42" customHeight="1" x14ac:dyDescent="0.2">
      <c r="B19" s="9" t="s">
        <v>224</v>
      </c>
      <c r="C19" s="9" t="s">
        <v>239</v>
      </c>
      <c r="D19" s="9" t="s">
        <v>240</v>
      </c>
      <c r="E19" s="9" t="s">
        <v>241</v>
      </c>
      <c r="F19" s="9" t="s">
        <v>242</v>
      </c>
      <c r="G19" s="9"/>
      <c r="H19" s="9"/>
    </row>
    <row r="20" spans="2:8" ht="42" customHeight="1" x14ac:dyDescent="0.2">
      <c r="B20" s="9" t="s">
        <v>224</v>
      </c>
      <c r="C20" s="9" t="s">
        <v>243</v>
      </c>
      <c r="D20" s="9" t="s">
        <v>1367</v>
      </c>
      <c r="E20" s="9" t="s">
        <v>244</v>
      </c>
      <c r="F20" s="9" t="s">
        <v>245</v>
      </c>
      <c r="G20" s="9"/>
      <c r="H20" s="9" t="s">
        <v>246</v>
      </c>
    </row>
    <row r="21" spans="2:8" ht="42" customHeight="1" x14ac:dyDescent="0.2">
      <c r="B21" s="9" t="s">
        <v>224</v>
      </c>
      <c r="C21" s="9" t="s">
        <v>247</v>
      </c>
      <c r="D21" s="9" t="s">
        <v>1368</v>
      </c>
      <c r="E21" s="9" t="s">
        <v>248</v>
      </c>
      <c r="F21" s="9" t="s">
        <v>249</v>
      </c>
      <c r="G21" s="9"/>
      <c r="H21" s="9" t="s">
        <v>250</v>
      </c>
    </row>
    <row r="22" spans="2:8" ht="42" customHeight="1" x14ac:dyDescent="0.2">
      <c r="B22" s="8" t="s">
        <v>251</v>
      </c>
      <c r="C22" s="8" t="s">
        <v>252</v>
      </c>
      <c r="D22" s="8" t="s">
        <v>253</v>
      </c>
      <c r="E22" s="8" t="s">
        <v>254</v>
      </c>
      <c r="F22" s="8" t="s">
        <v>255</v>
      </c>
      <c r="G22" s="8"/>
      <c r="H22" s="8"/>
    </row>
    <row r="23" spans="2:8" ht="42" customHeight="1" x14ac:dyDescent="0.2">
      <c r="B23" s="8" t="s">
        <v>251</v>
      </c>
      <c r="C23" s="8" t="s">
        <v>256</v>
      </c>
      <c r="D23" s="8" t="s">
        <v>257</v>
      </c>
      <c r="E23" s="8" t="s">
        <v>258</v>
      </c>
      <c r="F23" s="8" t="s">
        <v>259</v>
      </c>
      <c r="G23" s="8"/>
      <c r="H23" s="8"/>
    </row>
    <row r="24" spans="2:8" ht="42" customHeight="1" x14ac:dyDescent="0.2">
      <c r="B24" s="10" t="s">
        <v>177</v>
      </c>
      <c r="C24" s="10" t="s">
        <v>260</v>
      </c>
      <c r="D24" s="10" t="s">
        <v>261</v>
      </c>
      <c r="E24" s="10" t="s">
        <v>262</v>
      </c>
      <c r="F24" s="10" t="s">
        <v>263</v>
      </c>
      <c r="G24" s="10"/>
      <c r="H24" s="10" t="s">
        <v>264</v>
      </c>
    </row>
  </sheetData>
  <mergeCells count="1">
    <mergeCell ref="B2:I2"/>
  </mergeCells>
  <dataValidations count="1">
    <dataValidation type="list" allowBlank="1" sqref="G6:G24" xr:uid="{00000000-0002-0000-0300-000000000000}">
      <formula1>"Not started,Done,Retake needed,N/A"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K11"/>
  <sheetViews>
    <sheetView showGridLines="0" zoomScale="120" zoomScaleNormal="12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21" sqref="K21"/>
    </sheetView>
  </sheetViews>
  <sheetFormatPr baseColWidth="10" defaultColWidth="8.6640625" defaultRowHeight="15" customHeight="1" x14ac:dyDescent="0.2"/>
  <cols>
    <col min="1" max="1" width="3" customWidth="1"/>
    <col min="2" max="2" width="28.6640625" customWidth="1"/>
    <col min="3" max="3" width="30.6640625" style="14" customWidth="1"/>
    <col min="4" max="4" width="25.5" style="14" customWidth="1"/>
    <col min="5" max="5" width="41.6640625" style="14" customWidth="1"/>
    <col min="6" max="6" width="48" customWidth="1"/>
    <col min="7" max="7" width="74.33203125" customWidth="1"/>
    <col min="8" max="8" width="77.5" customWidth="1"/>
    <col min="9" max="9" width="78.33203125" customWidth="1"/>
    <col min="10" max="10" width="21" customWidth="1"/>
    <col min="11" max="11" width="48" customWidth="1"/>
  </cols>
  <sheetData>
    <row r="1" spans="2:11" ht="27.75" customHeight="1" x14ac:dyDescent="0.2"/>
    <row r="2" spans="2:11" ht="27.75" customHeight="1" x14ac:dyDescent="0.2">
      <c r="B2" s="11" t="s">
        <v>265</v>
      </c>
      <c r="C2" s="12"/>
      <c r="D2" s="12"/>
      <c r="E2" s="12"/>
      <c r="F2" s="12"/>
      <c r="G2" s="12"/>
      <c r="H2" s="12"/>
      <c r="I2" s="12"/>
      <c r="J2" s="12"/>
      <c r="K2" s="12"/>
    </row>
    <row r="3" spans="2:11" ht="27.75" customHeight="1" x14ac:dyDescent="0.2">
      <c r="B3" s="1" t="s">
        <v>266</v>
      </c>
    </row>
    <row r="4" spans="2:11" ht="27.75" customHeight="1" x14ac:dyDescent="0.2"/>
    <row r="5" spans="2:11" ht="27.75" customHeight="1" x14ac:dyDescent="0.2">
      <c r="B5" s="2" t="s">
        <v>267</v>
      </c>
      <c r="C5" s="2" t="s">
        <v>268</v>
      </c>
      <c r="D5" s="2" t="s">
        <v>269</v>
      </c>
      <c r="E5" s="2" t="s">
        <v>270</v>
      </c>
      <c r="F5" s="2" t="s">
        <v>271</v>
      </c>
      <c r="G5" s="2" t="s">
        <v>272</v>
      </c>
      <c r="H5" s="2" t="s">
        <v>273</v>
      </c>
      <c r="I5" s="2" t="s">
        <v>274</v>
      </c>
      <c r="J5" s="2" t="s">
        <v>34</v>
      </c>
      <c r="K5" s="2" t="s">
        <v>35</v>
      </c>
    </row>
    <row r="6" spans="2:11" ht="27.75" customHeight="1" x14ac:dyDescent="0.2">
      <c r="B6" s="3" t="s">
        <v>275</v>
      </c>
      <c r="C6" s="3" t="s">
        <v>276</v>
      </c>
      <c r="D6" s="3" t="s">
        <v>1242</v>
      </c>
      <c r="E6" s="3" t="s">
        <v>1246</v>
      </c>
      <c r="F6" s="4" t="s">
        <v>277</v>
      </c>
      <c r="G6" s="4" t="s">
        <v>1250</v>
      </c>
      <c r="H6" s="4" t="s">
        <v>278</v>
      </c>
      <c r="I6" s="4" t="s">
        <v>1254</v>
      </c>
      <c r="J6" s="4" t="s">
        <v>279</v>
      </c>
      <c r="K6" s="4" t="s">
        <v>1256</v>
      </c>
    </row>
    <row r="7" spans="2:11" ht="27.75" customHeight="1" x14ac:dyDescent="0.2">
      <c r="B7" s="3" t="s">
        <v>280</v>
      </c>
      <c r="C7" s="3" t="s">
        <v>276</v>
      </c>
      <c r="D7" s="3" t="s">
        <v>1243</v>
      </c>
      <c r="E7" s="3" t="s">
        <v>1247</v>
      </c>
      <c r="F7" s="4" t="s">
        <v>281</v>
      </c>
      <c r="G7" s="4" t="s">
        <v>1251</v>
      </c>
      <c r="H7" s="4" t="s">
        <v>282</v>
      </c>
      <c r="I7" s="4" t="s">
        <v>1255</v>
      </c>
      <c r="J7" s="4" t="s">
        <v>279</v>
      </c>
      <c r="K7" s="4" t="s">
        <v>1257</v>
      </c>
    </row>
    <row r="8" spans="2:11" ht="27.75" customHeight="1" x14ac:dyDescent="0.2">
      <c r="B8" s="3" t="s">
        <v>283</v>
      </c>
      <c r="C8" s="3" t="s">
        <v>276</v>
      </c>
      <c r="D8" s="3" t="s">
        <v>1244</v>
      </c>
      <c r="E8" s="3" t="s">
        <v>1248</v>
      </c>
      <c r="F8" s="4" t="s">
        <v>281</v>
      </c>
      <c r="G8" s="4" t="s">
        <v>1252</v>
      </c>
      <c r="H8" s="4" t="s">
        <v>284</v>
      </c>
      <c r="I8" s="4" t="s">
        <v>285</v>
      </c>
      <c r="J8" s="4" t="s">
        <v>279</v>
      </c>
      <c r="K8" s="4" t="s">
        <v>286</v>
      </c>
    </row>
    <row r="9" spans="2:11" ht="27.75" customHeight="1" x14ac:dyDescent="0.2">
      <c r="B9" s="3" t="s">
        <v>287</v>
      </c>
      <c r="C9" s="3" t="s">
        <v>288</v>
      </c>
      <c r="D9" s="3" t="s">
        <v>1245</v>
      </c>
      <c r="E9" s="3" t="s">
        <v>1249</v>
      </c>
      <c r="F9" s="4" t="s">
        <v>289</v>
      </c>
      <c r="G9" s="4" t="s">
        <v>1253</v>
      </c>
      <c r="H9" s="4" t="s">
        <v>290</v>
      </c>
      <c r="I9" s="4" t="s">
        <v>291</v>
      </c>
      <c r="J9" s="4" t="s">
        <v>292</v>
      </c>
      <c r="K9" s="4" t="s">
        <v>293</v>
      </c>
    </row>
    <row r="10" spans="2:11" ht="27.75" customHeight="1" x14ac:dyDescent="0.2">
      <c r="B10" s="3" t="s">
        <v>294</v>
      </c>
      <c r="C10" s="3" t="s">
        <v>295</v>
      </c>
      <c r="D10" s="3" t="s">
        <v>1258</v>
      </c>
      <c r="E10" s="3" t="s">
        <v>296</v>
      </c>
      <c r="F10" s="4" t="s">
        <v>297</v>
      </c>
      <c r="G10" s="4" t="s">
        <v>298</v>
      </c>
      <c r="H10" s="4" t="s">
        <v>299</v>
      </c>
      <c r="I10" s="4" t="s">
        <v>300</v>
      </c>
      <c r="J10" s="4" t="s">
        <v>301</v>
      </c>
      <c r="K10" s="4" t="s">
        <v>302</v>
      </c>
    </row>
    <row r="11" spans="2:11" ht="27.75" customHeight="1" x14ac:dyDescent="0.2">
      <c r="B11" s="3" t="s">
        <v>54</v>
      </c>
      <c r="C11" s="3" t="s">
        <v>303</v>
      </c>
      <c r="D11" s="3" t="s">
        <v>304</v>
      </c>
      <c r="E11" s="3" t="s">
        <v>157</v>
      </c>
      <c r="F11" s="4" t="s">
        <v>305</v>
      </c>
      <c r="G11" s="4" t="s">
        <v>306</v>
      </c>
      <c r="H11" s="4" t="s">
        <v>307</v>
      </c>
      <c r="I11" s="4" t="s">
        <v>308</v>
      </c>
      <c r="J11" s="3" t="s">
        <v>52</v>
      </c>
      <c r="K11" s="4" t="s">
        <v>309</v>
      </c>
    </row>
  </sheetData>
  <autoFilter ref="B5:K11" xr:uid="{00000000-0009-0000-0000-000004000000}"/>
  <mergeCells count="1">
    <mergeCell ref="B2:K2"/>
  </mergeCells>
  <conditionalFormatting sqref="B6:Z11">
    <cfRule type="expression" dxfId="44" priority="2">
      <formula>$J6="Confirmed from notes"</formula>
    </cfRule>
    <cfRule type="expression" dxfId="43" priority="3">
      <formula>$J6="Inferred / likely"</formula>
    </cfRule>
    <cfRule type="expression" dxfId="42" priority="4">
      <formula>$J6="Verify in cabinet"</formula>
    </cfRule>
    <cfRule type="expression" dxfId="41" priority="5">
      <formula>$J6="Measure before buying"</formula>
    </cfRule>
    <cfRule type="expression" dxfId="40" priority="6">
      <formula>$J6="Optional"</formula>
    </cfRule>
  </conditionalFormatting>
  <dataValidations count="1">
    <dataValidation type="list" allowBlank="1" sqref="J6:J11" xr:uid="{00000000-0002-0000-0400-000000000000}">
      <formula1>"Confirmed from notes,Inferred / likely,Verify in cabinet,Measure before buying,Optional,TBD"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N88"/>
  <sheetViews>
    <sheetView showGridLines="0" tabSelected="1" zoomScale="130" zoomScaleNormal="13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baseColWidth="10" defaultColWidth="8.6640625" defaultRowHeight="15" customHeight="1" x14ac:dyDescent="0.2"/>
  <cols>
    <col min="1" max="1" width="3" style="14" customWidth="1"/>
    <col min="2" max="2" width="40" style="14" customWidth="1"/>
    <col min="3" max="3" width="25.5" style="14" customWidth="1"/>
    <col min="4" max="4" width="17.33203125" style="14" customWidth="1"/>
    <col min="5" max="6" width="40" style="14" customWidth="1"/>
    <col min="7" max="7" width="12" style="14" customWidth="1"/>
    <col min="8" max="9" width="15.6640625" style="14" customWidth="1"/>
    <col min="10" max="10" width="19.1640625" style="14" customWidth="1"/>
    <col min="11" max="11" width="21" style="14" customWidth="1"/>
    <col min="12" max="12" width="40" style="14" customWidth="1"/>
    <col min="13" max="13" width="21" style="14" customWidth="1"/>
    <col min="14" max="14" width="40" style="14" customWidth="1"/>
    <col min="15" max="16384" width="8.6640625" style="14"/>
  </cols>
  <sheetData>
    <row r="1" spans="2:14" ht="27.75" customHeight="1" x14ac:dyDescent="0.2"/>
    <row r="2" spans="2:14" ht="27.75" customHeight="1" x14ac:dyDescent="0.2">
      <c r="B2" s="18" t="s">
        <v>310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2:14" ht="27.75" customHeight="1" x14ac:dyDescent="0.2">
      <c r="B3" s="15" t="s">
        <v>311</v>
      </c>
    </row>
    <row r="4" spans="2:14" ht="27.75" customHeight="1" x14ac:dyDescent="0.2"/>
    <row r="5" spans="2:14" ht="27.75" customHeight="1" x14ac:dyDescent="0.2">
      <c r="B5" s="2" t="s">
        <v>312</v>
      </c>
      <c r="C5" s="2" t="s">
        <v>313</v>
      </c>
      <c r="D5" s="2" t="s">
        <v>314</v>
      </c>
      <c r="E5" s="2" t="s">
        <v>315</v>
      </c>
      <c r="F5" s="2" t="s">
        <v>316</v>
      </c>
      <c r="G5" s="2" t="s">
        <v>317</v>
      </c>
      <c r="H5" s="2" t="s">
        <v>318</v>
      </c>
      <c r="I5" s="2" t="s">
        <v>319</v>
      </c>
      <c r="J5" s="2" t="s">
        <v>320</v>
      </c>
      <c r="K5" s="2" t="s">
        <v>321</v>
      </c>
      <c r="L5" s="2" t="s">
        <v>322</v>
      </c>
      <c r="M5" s="2" t="s">
        <v>34</v>
      </c>
      <c r="N5" s="2" t="s">
        <v>35</v>
      </c>
    </row>
    <row r="6" spans="2:14" ht="27.75" customHeight="1" x14ac:dyDescent="0.2">
      <c r="B6" s="3" t="s">
        <v>323</v>
      </c>
      <c r="C6" s="3"/>
      <c r="D6" s="3" t="s">
        <v>324</v>
      </c>
      <c r="E6" s="3" t="s">
        <v>325</v>
      </c>
      <c r="F6" s="3" t="s">
        <v>326</v>
      </c>
      <c r="G6" s="3" t="s">
        <v>327</v>
      </c>
      <c r="H6" s="3" t="s">
        <v>1202</v>
      </c>
      <c r="I6" s="3" t="s">
        <v>328</v>
      </c>
      <c r="J6" s="3" t="s">
        <v>329</v>
      </c>
      <c r="K6" s="3" t="s">
        <v>330</v>
      </c>
      <c r="L6" s="3" t="s">
        <v>331</v>
      </c>
      <c r="M6" s="3" t="s">
        <v>279</v>
      </c>
      <c r="N6" s="3" t="s">
        <v>332</v>
      </c>
    </row>
    <row r="7" spans="2:14" ht="27.75" customHeight="1" x14ac:dyDescent="0.2">
      <c r="B7" s="3" t="s">
        <v>333</v>
      </c>
      <c r="C7" s="3"/>
      <c r="D7" s="3" t="s">
        <v>324</v>
      </c>
      <c r="E7" s="3" t="s">
        <v>334</v>
      </c>
      <c r="F7" s="3" t="s">
        <v>326</v>
      </c>
      <c r="G7" s="3" t="s">
        <v>327</v>
      </c>
      <c r="H7" s="3" t="s">
        <v>1202</v>
      </c>
      <c r="I7" s="3" t="s">
        <v>328</v>
      </c>
      <c r="J7" s="3" t="s">
        <v>335</v>
      </c>
      <c r="K7" s="3" t="s">
        <v>336</v>
      </c>
      <c r="L7" s="3" t="s">
        <v>337</v>
      </c>
      <c r="M7" s="3" t="s">
        <v>279</v>
      </c>
      <c r="N7" s="3"/>
    </row>
    <row r="8" spans="2:14" ht="27.75" customHeight="1" x14ac:dyDescent="0.2">
      <c r="B8" s="3" t="s">
        <v>338</v>
      </c>
      <c r="C8" s="3"/>
      <c r="D8" s="3" t="s">
        <v>324</v>
      </c>
      <c r="E8" s="3" t="s">
        <v>339</v>
      </c>
      <c r="F8" s="3" t="s">
        <v>326</v>
      </c>
      <c r="G8" s="3" t="s">
        <v>327</v>
      </c>
      <c r="H8" s="3" t="s">
        <v>1202</v>
      </c>
      <c r="I8" s="3" t="s">
        <v>328</v>
      </c>
      <c r="J8" s="3" t="s">
        <v>340</v>
      </c>
      <c r="K8" s="3" t="s">
        <v>341</v>
      </c>
      <c r="L8" s="3" t="s">
        <v>342</v>
      </c>
      <c r="M8" s="3" t="s">
        <v>279</v>
      </c>
      <c r="N8" s="3"/>
    </row>
    <row r="9" spans="2:14" ht="27.75" customHeight="1" x14ac:dyDescent="0.2">
      <c r="B9" s="3" t="s">
        <v>343</v>
      </c>
      <c r="C9" s="3"/>
      <c r="D9" s="3" t="s">
        <v>287</v>
      </c>
      <c r="E9" s="3" t="s">
        <v>344</v>
      </c>
      <c r="F9" s="3" t="s">
        <v>345</v>
      </c>
      <c r="G9" s="3" t="s">
        <v>327</v>
      </c>
      <c r="H9" s="3" t="s">
        <v>1202</v>
      </c>
      <c r="I9" s="3" t="s">
        <v>328</v>
      </c>
      <c r="J9" s="3" t="s">
        <v>346</v>
      </c>
      <c r="K9" s="3" t="s">
        <v>347</v>
      </c>
      <c r="L9" s="3" t="s">
        <v>348</v>
      </c>
      <c r="M9" s="3" t="s">
        <v>292</v>
      </c>
      <c r="N9" s="3" t="s">
        <v>349</v>
      </c>
    </row>
    <row r="10" spans="2:14" ht="27.75" customHeight="1" x14ac:dyDescent="0.2">
      <c r="B10" s="3" t="s">
        <v>1203</v>
      </c>
      <c r="C10" s="3"/>
      <c r="D10" s="3" t="s">
        <v>324</v>
      </c>
      <c r="E10" s="3" t="s">
        <v>1207</v>
      </c>
      <c r="F10" s="3" t="s">
        <v>1211</v>
      </c>
      <c r="G10" s="3" t="s">
        <v>1213</v>
      </c>
      <c r="H10" s="3" t="s">
        <v>793</v>
      </c>
      <c r="I10" s="3" t="s">
        <v>1214</v>
      </c>
      <c r="J10" s="3" t="s">
        <v>789</v>
      </c>
      <c r="K10" s="3" t="s">
        <v>350</v>
      </c>
      <c r="L10" s="3" t="s">
        <v>792</v>
      </c>
      <c r="M10" s="3" t="s">
        <v>292</v>
      </c>
      <c r="N10" s="3" t="s">
        <v>1216</v>
      </c>
    </row>
    <row r="11" spans="2:14" ht="27.75" customHeight="1" x14ac:dyDescent="0.2">
      <c r="B11" s="3" t="s">
        <v>1204</v>
      </c>
      <c r="C11" s="3"/>
      <c r="D11" s="3" t="s">
        <v>324</v>
      </c>
      <c r="E11" s="3" t="s">
        <v>1208</v>
      </c>
      <c r="F11" s="3" t="s">
        <v>1211</v>
      </c>
      <c r="G11" s="3" t="s">
        <v>1213</v>
      </c>
      <c r="H11" s="3" t="s">
        <v>793</v>
      </c>
      <c r="I11" s="3" t="s">
        <v>1214</v>
      </c>
      <c r="J11" s="3" t="s">
        <v>796</v>
      </c>
      <c r="K11" s="3" t="s">
        <v>351</v>
      </c>
      <c r="L11" s="3" t="s">
        <v>797</v>
      </c>
      <c r="M11" s="3" t="s">
        <v>292</v>
      </c>
      <c r="N11" s="3" t="s">
        <v>1217</v>
      </c>
    </row>
    <row r="12" spans="2:14" ht="27.75" customHeight="1" x14ac:dyDescent="0.2">
      <c r="B12" s="3" t="s">
        <v>1205</v>
      </c>
      <c r="C12" s="3"/>
      <c r="D12" s="3" t="s">
        <v>324</v>
      </c>
      <c r="E12" s="3" t="s">
        <v>1209</v>
      </c>
      <c r="F12" s="3" t="s">
        <v>1211</v>
      </c>
      <c r="G12" s="3" t="s">
        <v>1213</v>
      </c>
      <c r="H12" s="3" t="s">
        <v>793</v>
      </c>
      <c r="I12" s="3" t="s">
        <v>1214</v>
      </c>
      <c r="J12" s="3" t="s">
        <v>800</v>
      </c>
      <c r="K12" s="3" t="s">
        <v>352</v>
      </c>
      <c r="L12" s="3" t="s">
        <v>801</v>
      </c>
      <c r="M12" s="3" t="s">
        <v>292</v>
      </c>
      <c r="N12" s="3" t="s">
        <v>1218</v>
      </c>
    </row>
    <row r="13" spans="2:14" ht="27.75" customHeight="1" x14ac:dyDescent="0.2">
      <c r="B13" s="3" t="s">
        <v>1206</v>
      </c>
      <c r="C13" s="3"/>
      <c r="D13" s="3" t="s">
        <v>287</v>
      </c>
      <c r="E13" s="3" t="s">
        <v>1210</v>
      </c>
      <c r="F13" s="3" t="s">
        <v>1212</v>
      </c>
      <c r="G13" s="3" t="s">
        <v>1213</v>
      </c>
      <c r="H13" s="3" t="s">
        <v>793</v>
      </c>
      <c r="I13" s="3" t="s">
        <v>1214</v>
      </c>
      <c r="J13" s="3" t="s">
        <v>804</v>
      </c>
      <c r="K13" s="3" t="s">
        <v>353</v>
      </c>
      <c r="L13" s="3" t="s">
        <v>1215</v>
      </c>
      <c r="M13" s="3" t="s">
        <v>292</v>
      </c>
      <c r="N13" s="3" t="s">
        <v>1219</v>
      </c>
    </row>
    <row r="14" spans="2:14" ht="27.75" customHeight="1" x14ac:dyDescent="0.2">
      <c r="B14" s="3" t="s">
        <v>354</v>
      </c>
      <c r="C14" s="3" t="s">
        <v>355</v>
      </c>
      <c r="D14" s="3" t="s">
        <v>356</v>
      </c>
      <c r="E14" s="3" t="s">
        <v>357</v>
      </c>
      <c r="F14" s="3" t="s">
        <v>358</v>
      </c>
      <c r="G14" s="3" t="s">
        <v>359</v>
      </c>
      <c r="H14" s="3" t="s">
        <v>1202</v>
      </c>
      <c r="I14" s="3" t="s">
        <v>360</v>
      </c>
      <c r="J14" s="3" t="s">
        <v>361</v>
      </c>
      <c r="K14" s="3" t="s">
        <v>362</v>
      </c>
      <c r="L14" s="3" t="s">
        <v>363</v>
      </c>
      <c r="M14" s="3" t="s">
        <v>301</v>
      </c>
      <c r="N14" s="3" t="s">
        <v>364</v>
      </c>
    </row>
    <row r="15" spans="2:14" ht="27.75" customHeight="1" x14ac:dyDescent="0.2">
      <c r="B15" s="3" t="s">
        <v>365</v>
      </c>
      <c r="C15" s="3" t="s">
        <v>366</v>
      </c>
      <c r="D15" s="3" t="s">
        <v>356</v>
      </c>
      <c r="E15" s="3" t="s">
        <v>367</v>
      </c>
      <c r="F15" s="3" t="s">
        <v>368</v>
      </c>
      <c r="G15" s="3" t="s">
        <v>359</v>
      </c>
      <c r="H15" s="3" t="s">
        <v>1202</v>
      </c>
      <c r="I15" s="3" t="s">
        <v>360</v>
      </c>
      <c r="J15" s="3" t="s">
        <v>369</v>
      </c>
      <c r="K15" s="3" t="s">
        <v>370</v>
      </c>
      <c r="L15" s="3" t="s">
        <v>371</v>
      </c>
      <c r="M15" s="3" t="s">
        <v>292</v>
      </c>
      <c r="N15" s="3" t="s">
        <v>372</v>
      </c>
    </row>
    <row r="16" spans="2:14" ht="27.75" customHeight="1" x14ac:dyDescent="0.2">
      <c r="B16" s="3" t="s">
        <v>373</v>
      </c>
      <c r="C16" s="3" t="s">
        <v>374</v>
      </c>
      <c r="D16" s="3" t="s">
        <v>356</v>
      </c>
      <c r="E16" s="3" t="s">
        <v>375</v>
      </c>
      <c r="F16" s="3" t="s">
        <v>368</v>
      </c>
      <c r="G16" s="3" t="s">
        <v>359</v>
      </c>
      <c r="H16" s="3" t="s">
        <v>1202</v>
      </c>
      <c r="I16" s="3" t="s">
        <v>360</v>
      </c>
      <c r="J16" s="3" t="s">
        <v>376</v>
      </c>
      <c r="K16" s="3" t="s">
        <v>377</v>
      </c>
      <c r="L16" s="3" t="s">
        <v>371</v>
      </c>
      <c r="M16" s="3" t="s">
        <v>292</v>
      </c>
      <c r="N16" s="3" t="s">
        <v>372</v>
      </c>
    </row>
    <row r="17" spans="2:14" ht="27.75" customHeight="1" x14ac:dyDescent="0.2">
      <c r="B17" s="3" t="s">
        <v>378</v>
      </c>
      <c r="C17" s="3" t="s">
        <v>379</v>
      </c>
      <c r="D17" s="3" t="s">
        <v>356</v>
      </c>
      <c r="E17" s="3" t="s">
        <v>380</v>
      </c>
      <c r="F17" s="3" t="s">
        <v>381</v>
      </c>
      <c r="G17" s="3" t="s">
        <v>359</v>
      </c>
      <c r="H17" s="3" t="s">
        <v>1202</v>
      </c>
      <c r="I17" s="3" t="s">
        <v>360</v>
      </c>
      <c r="J17" s="3" t="s">
        <v>382</v>
      </c>
      <c r="K17" s="3" t="s">
        <v>383</v>
      </c>
      <c r="L17" s="3" t="s">
        <v>384</v>
      </c>
      <c r="M17" s="3" t="s">
        <v>301</v>
      </c>
      <c r="N17" s="3"/>
    </row>
    <row r="18" spans="2:14" ht="27.75" customHeight="1" x14ac:dyDescent="0.2">
      <c r="B18" s="3" t="s">
        <v>385</v>
      </c>
      <c r="C18" s="3" t="s">
        <v>386</v>
      </c>
      <c r="D18" s="3" t="s">
        <v>356</v>
      </c>
      <c r="E18" s="3" t="s">
        <v>387</v>
      </c>
      <c r="F18" s="3" t="s">
        <v>388</v>
      </c>
      <c r="G18" s="3" t="s">
        <v>359</v>
      </c>
      <c r="H18" s="3" t="s">
        <v>1202</v>
      </c>
      <c r="I18" s="3" t="s">
        <v>360</v>
      </c>
      <c r="J18" s="3" t="s">
        <v>389</v>
      </c>
      <c r="K18" s="3" t="s">
        <v>390</v>
      </c>
      <c r="L18" s="3" t="s">
        <v>371</v>
      </c>
      <c r="M18" s="3" t="s">
        <v>292</v>
      </c>
      <c r="N18" s="3"/>
    </row>
    <row r="19" spans="2:14" ht="27.75" customHeight="1" x14ac:dyDescent="0.2">
      <c r="B19" s="3" t="s">
        <v>391</v>
      </c>
      <c r="C19" s="3" t="s">
        <v>392</v>
      </c>
      <c r="D19" s="3" t="s">
        <v>356</v>
      </c>
      <c r="E19" s="3" t="s">
        <v>393</v>
      </c>
      <c r="F19" s="3" t="s">
        <v>388</v>
      </c>
      <c r="G19" s="3" t="s">
        <v>359</v>
      </c>
      <c r="H19" s="3" t="s">
        <v>1202</v>
      </c>
      <c r="I19" s="3" t="s">
        <v>360</v>
      </c>
      <c r="J19" s="3" t="s">
        <v>394</v>
      </c>
      <c r="K19" s="3" t="s">
        <v>395</v>
      </c>
      <c r="L19" s="3" t="s">
        <v>371</v>
      </c>
      <c r="M19" s="3" t="s">
        <v>292</v>
      </c>
      <c r="N19" s="3"/>
    </row>
    <row r="20" spans="2:14" ht="27.75" customHeight="1" x14ac:dyDescent="0.2">
      <c r="B20" s="3" t="s">
        <v>396</v>
      </c>
      <c r="C20" s="3" t="s">
        <v>397</v>
      </c>
      <c r="D20" s="3" t="s">
        <v>356</v>
      </c>
      <c r="E20" s="3" t="s">
        <v>398</v>
      </c>
      <c r="F20" s="3" t="s">
        <v>381</v>
      </c>
      <c r="G20" s="3" t="s">
        <v>359</v>
      </c>
      <c r="H20" s="3" t="s">
        <v>1202</v>
      </c>
      <c r="I20" s="3" t="s">
        <v>360</v>
      </c>
      <c r="J20" s="3" t="s">
        <v>399</v>
      </c>
      <c r="K20" s="3" t="s">
        <v>400</v>
      </c>
      <c r="L20" s="3" t="s">
        <v>384</v>
      </c>
      <c r="M20" s="3" t="s">
        <v>301</v>
      </c>
      <c r="N20" s="3"/>
    </row>
    <row r="21" spans="2:14" ht="27.75" customHeight="1" x14ac:dyDescent="0.2">
      <c r="B21" s="3" t="s">
        <v>401</v>
      </c>
      <c r="C21" s="3" t="s">
        <v>402</v>
      </c>
      <c r="D21" s="3" t="s">
        <v>356</v>
      </c>
      <c r="E21" s="3" t="s">
        <v>403</v>
      </c>
      <c r="F21" s="3" t="s">
        <v>388</v>
      </c>
      <c r="G21" s="3" t="s">
        <v>359</v>
      </c>
      <c r="H21" s="3" t="s">
        <v>1202</v>
      </c>
      <c r="I21" s="3" t="s">
        <v>360</v>
      </c>
      <c r="J21" s="3" t="s">
        <v>404</v>
      </c>
      <c r="K21" s="3" t="s">
        <v>405</v>
      </c>
      <c r="L21" s="3" t="s">
        <v>371</v>
      </c>
      <c r="M21" s="3" t="s">
        <v>292</v>
      </c>
      <c r="N21" s="3"/>
    </row>
    <row r="22" spans="2:14" ht="27.75" customHeight="1" x14ac:dyDescent="0.2">
      <c r="B22" s="3" t="s">
        <v>406</v>
      </c>
      <c r="C22" s="3" t="s">
        <v>407</v>
      </c>
      <c r="D22" s="3" t="s">
        <v>356</v>
      </c>
      <c r="E22" s="3" t="s">
        <v>408</v>
      </c>
      <c r="F22" s="3" t="s">
        <v>388</v>
      </c>
      <c r="G22" s="3" t="s">
        <v>359</v>
      </c>
      <c r="H22" s="3" t="s">
        <v>1202</v>
      </c>
      <c r="I22" s="3" t="s">
        <v>360</v>
      </c>
      <c r="J22" s="3" t="s">
        <v>409</v>
      </c>
      <c r="K22" s="3" t="s">
        <v>410</v>
      </c>
      <c r="L22" s="3" t="s">
        <v>371</v>
      </c>
      <c r="M22" s="3" t="s">
        <v>292</v>
      </c>
      <c r="N22" s="3"/>
    </row>
    <row r="23" spans="2:14" ht="27.75" customHeight="1" x14ac:dyDescent="0.2">
      <c r="B23" s="3" t="s">
        <v>411</v>
      </c>
      <c r="C23" s="3"/>
      <c r="D23" s="3" t="s">
        <v>412</v>
      </c>
      <c r="E23" s="3" t="s">
        <v>413</v>
      </c>
      <c r="F23" s="3" t="s">
        <v>414</v>
      </c>
      <c r="G23" s="3" t="s">
        <v>359</v>
      </c>
      <c r="H23" s="3" t="s">
        <v>1202</v>
      </c>
      <c r="I23" s="3" t="s">
        <v>360</v>
      </c>
      <c r="J23" s="3" t="s">
        <v>415</v>
      </c>
      <c r="K23" s="3" t="s">
        <v>416</v>
      </c>
      <c r="L23" s="3" t="s">
        <v>417</v>
      </c>
      <c r="M23" s="3" t="s">
        <v>292</v>
      </c>
      <c r="N23" s="3" t="s">
        <v>418</v>
      </c>
    </row>
    <row r="24" spans="2:14" ht="27.75" customHeight="1" x14ac:dyDescent="0.2">
      <c r="B24" s="3" t="s">
        <v>419</v>
      </c>
      <c r="C24" s="3"/>
      <c r="D24" s="3" t="s">
        <v>412</v>
      </c>
      <c r="E24" s="3" t="s">
        <v>420</v>
      </c>
      <c r="F24" s="3" t="s">
        <v>414</v>
      </c>
      <c r="G24" s="3" t="s">
        <v>359</v>
      </c>
      <c r="H24" s="3" t="s">
        <v>1202</v>
      </c>
      <c r="I24" s="3" t="s">
        <v>360</v>
      </c>
      <c r="J24" s="3" t="s">
        <v>421</v>
      </c>
      <c r="K24" s="3" t="s">
        <v>422</v>
      </c>
      <c r="L24" s="3" t="s">
        <v>423</v>
      </c>
      <c r="M24" s="3" t="s">
        <v>292</v>
      </c>
      <c r="N24" s="3"/>
    </row>
    <row r="25" spans="2:14" ht="27.75" customHeight="1" x14ac:dyDescent="0.2">
      <c r="B25" s="3" t="s">
        <v>424</v>
      </c>
      <c r="C25" s="3"/>
      <c r="D25" s="3" t="s">
        <v>412</v>
      </c>
      <c r="E25" s="3" t="s">
        <v>425</v>
      </c>
      <c r="F25" s="3" t="s">
        <v>414</v>
      </c>
      <c r="G25" s="3" t="s">
        <v>359</v>
      </c>
      <c r="H25" s="3" t="s">
        <v>1202</v>
      </c>
      <c r="I25" s="3" t="s">
        <v>360</v>
      </c>
      <c r="J25" s="3" t="s">
        <v>426</v>
      </c>
      <c r="K25" s="3" t="s">
        <v>427</v>
      </c>
      <c r="L25" s="3" t="s">
        <v>428</v>
      </c>
      <c r="M25" s="3" t="s">
        <v>292</v>
      </c>
      <c r="N25" s="3"/>
    </row>
    <row r="26" spans="2:14" ht="27.75" customHeight="1" x14ac:dyDescent="0.2">
      <c r="B26" s="3" t="s">
        <v>429</v>
      </c>
      <c r="C26" s="3"/>
      <c r="D26" s="3" t="s">
        <v>430</v>
      </c>
      <c r="E26" s="3" t="s">
        <v>431</v>
      </c>
      <c r="F26" s="3" t="s">
        <v>414</v>
      </c>
      <c r="G26" s="3" t="s">
        <v>359</v>
      </c>
      <c r="H26" s="3" t="s">
        <v>1202</v>
      </c>
      <c r="I26" s="3" t="s">
        <v>360</v>
      </c>
      <c r="J26" s="3" t="s">
        <v>432</v>
      </c>
      <c r="K26" s="3" t="s">
        <v>433</v>
      </c>
      <c r="L26" s="3" t="s">
        <v>434</v>
      </c>
      <c r="M26" s="3" t="s">
        <v>292</v>
      </c>
      <c r="N26" s="3"/>
    </row>
    <row r="27" spans="2:14" ht="27.75" customHeight="1" x14ac:dyDescent="0.2">
      <c r="B27" s="3" t="s">
        <v>435</v>
      </c>
      <c r="C27" s="3"/>
      <c r="D27" s="3" t="s">
        <v>436</v>
      </c>
      <c r="E27" s="3" t="s">
        <v>437</v>
      </c>
      <c r="F27" s="3" t="s">
        <v>438</v>
      </c>
      <c r="G27" s="3" t="s">
        <v>359</v>
      </c>
      <c r="H27" s="3" t="s">
        <v>1202</v>
      </c>
      <c r="I27" s="3" t="s">
        <v>360</v>
      </c>
      <c r="J27" s="3" t="s">
        <v>439</v>
      </c>
      <c r="K27" s="3" t="s">
        <v>440</v>
      </c>
      <c r="L27" s="3" t="s">
        <v>441</v>
      </c>
      <c r="M27" s="3" t="s">
        <v>292</v>
      </c>
      <c r="N27" s="3" t="s">
        <v>442</v>
      </c>
    </row>
    <row r="28" spans="2:14" ht="27.75" customHeight="1" x14ac:dyDescent="0.2">
      <c r="B28" s="3" t="s">
        <v>443</v>
      </c>
      <c r="C28" s="3"/>
      <c r="D28" s="3" t="s">
        <v>436</v>
      </c>
      <c r="E28" s="3" t="s">
        <v>444</v>
      </c>
      <c r="F28" s="3" t="s">
        <v>381</v>
      </c>
      <c r="G28" s="3" t="s">
        <v>359</v>
      </c>
      <c r="H28" s="3" t="s">
        <v>1202</v>
      </c>
      <c r="I28" s="3" t="s">
        <v>360</v>
      </c>
      <c r="J28" s="3" t="s">
        <v>445</v>
      </c>
      <c r="K28" s="3" t="s">
        <v>446</v>
      </c>
      <c r="L28" s="3" t="s">
        <v>447</v>
      </c>
      <c r="M28" s="3" t="s">
        <v>292</v>
      </c>
      <c r="N28" s="3"/>
    </row>
    <row r="29" spans="2:14" ht="27.75" customHeight="1" x14ac:dyDescent="0.2">
      <c r="B29" s="3" t="s">
        <v>448</v>
      </c>
      <c r="C29" s="3"/>
      <c r="D29" s="3" t="s">
        <v>449</v>
      </c>
      <c r="E29" s="3" t="s">
        <v>450</v>
      </c>
      <c r="F29" s="3" t="s">
        <v>381</v>
      </c>
      <c r="G29" s="3" t="s">
        <v>359</v>
      </c>
      <c r="H29" s="3" t="s">
        <v>1202</v>
      </c>
      <c r="I29" s="3" t="s">
        <v>360</v>
      </c>
      <c r="J29" s="3" t="s">
        <v>451</v>
      </c>
      <c r="K29" s="3" t="s">
        <v>452</v>
      </c>
      <c r="L29" s="3" t="s">
        <v>453</v>
      </c>
      <c r="M29" s="3" t="s">
        <v>292</v>
      </c>
      <c r="N29" s="3"/>
    </row>
    <row r="30" spans="2:14" ht="27.75" customHeight="1" x14ac:dyDescent="0.2">
      <c r="B30" s="3" t="s">
        <v>454</v>
      </c>
      <c r="C30" s="3"/>
      <c r="D30" s="3" t="s">
        <v>455</v>
      </c>
      <c r="E30" s="3" t="s">
        <v>456</v>
      </c>
      <c r="F30" s="3" t="s">
        <v>381</v>
      </c>
      <c r="G30" s="3" t="s">
        <v>359</v>
      </c>
      <c r="H30" s="3" t="s">
        <v>1202</v>
      </c>
      <c r="I30" s="3" t="s">
        <v>360</v>
      </c>
      <c r="J30" s="3" t="s">
        <v>457</v>
      </c>
      <c r="K30" s="3" t="s">
        <v>458</v>
      </c>
      <c r="L30" s="3" t="s">
        <v>459</v>
      </c>
      <c r="M30" s="3" t="s">
        <v>292</v>
      </c>
      <c r="N30" s="3"/>
    </row>
    <row r="31" spans="2:14" ht="27.75" customHeight="1" x14ac:dyDescent="0.2">
      <c r="B31" s="3" t="s">
        <v>460</v>
      </c>
      <c r="C31" s="3"/>
      <c r="D31" s="3" t="s">
        <v>461</v>
      </c>
      <c r="E31" s="3" t="s">
        <v>462</v>
      </c>
      <c r="F31" s="3" t="s">
        <v>463</v>
      </c>
      <c r="G31" s="3" t="s">
        <v>359</v>
      </c>
      <c r="H31" s="3" t="s">
        <v>1202</v>
      </c>
      <c r="I31" s="3" t="s">
        <v>360</v>
      </c>
      <c r="J31" s="3" t="s">
        <v>464</v>
      </c>
      <c r="K31" s="3" t="s">
        <v>465</v>
      </c>
      <c r="L31" s="3" t="s">
        <v>466</v>
      </c>
      <c r="M31" s="3" t="s">
        <v>52</v>
      </c>
      <c r="N31" s="3" t="s">
        <v>467</v>
      </c>
    </row>
    <row r="32" spans="2:14" ht="27.75" customHeight="1" x14ac:dyDescent="0.2">
      <c r="B32" s="3" t="s">
        <v>468</v>
      </c>
      <c r="C32" s="3"/>
      <c r="D32" s="3" t="s">
        <v>461</v>
      </c>
      <c r="E32" s="3" t="s">
        <v>469</v>
      </c>
      <c r="F32" s="3" t="s">
        <v>463</v>
      </c>
      <c r="G32" s="3" t="s">
        <v>359</v>
      </c>
      <c r="H32" s="3" t="s">
        <v>1202</v>
      </c>
      <c r="I32" s="3" t="s">
        <v>360</v>
      </c>
      <c r="J32" s="20" t="s">
        <v>470</v>
      </c>
      <c r="K32" s="3" t="s">
        <v>471</v>
      </c>
      <c r="L32" s="3" t="s">
        <v>466</v>
      </c>
      <c r="M32" s="3" t="s">
        <v>52</v>
      </c>
      <c r="N32" s="3"/>
    </row>
    <row r="33" spans="2:14" ht="27.75" customHeight="1" x14ac:dyDescent="0.2">
      <c r="B33" s="3" t="s">
        <v>472</v>
      </c>
      <c r="C33" s="3"/>
      <c r="D33" s="3" t="s">
        <v>461</v>
      </c>
      <c r="E33" s="3" t="s">
        <v>473</v>
      </c>
      <c r="F33" s="3" t="s">
        <v>381</v>
      </c>
      <c r="G33" s="3" t="s">
        <v>359</v>
      </c>
      <c r="H33" s="3" t="s">
        <v>1202</v>
      </c>
      <c r="I33" s="3" t="s">
        <v>360</v>
      </c>
      <c r="J33" s="3" t="s">
        <v>474</v>
      </c>
      <c r="K33" s="3" t="s">
        <v>475</v>
      </c>
      <c r="L33" s="3" t="s">
        <v>466</v>
      </c>
      <c r="M33" s="3" t="s">
        <v>52</v>
      </c>
      <c r="N33" s="3"/>
    </row>
    <row r="34" spans="2:14" ht="27.75" customHeight="1" x14ac:dyDescent="0.2">
      <c r="B34" s="3" t="s">
        <v>476</v>
      </c>
      <c r="C34" s="3"/>
      <c r="D34" s="3" t="s">
        <v>430</v>
      </c>
      <c r="E34" s="3" t="s">
        <v>477</v>
      </c>
      <c r="F34" s="3" t="s">
        <v>130</v>
      </c>
      <c r="G34" s="3" t="s">
        <v>359</v>
      </c>
      <c r="H34" s="3" t="s">
        <v>1202</v>
      </c>
      <c r="I34" s="3" t="s">
        <v>360</v>
      </c>
      <c r="J34" s="3" t="s">
        <v>478</v>
      </c>
      <c r="K34" s="3" t="s">
        <v>479</v>
      </c>
      <c r="L34" s="3" t="s">
        <v>480</v>
      </c>
      <c r="M34" s="3" t="s">
        <v>292</v>
      </c>
      <c r="N34" s="3" t="s">
        <v>481</v>
      </c>
    </row>
    <row r="35" spans="2:14" ht="27.75" customHeight="1" x14ac:dyDescent="0.2">
      <c r="B35" s="3" t="s">
        <v>482</v>
      </c>
      <c r="C35" s="3"/>
      <c r="D35" s="3" t="s">
        <v>412</v>
      </c>
      <c r="E35" s="3" t="s">
        <v>483</v>
      </c>
      <c r="F35" s="3" t="s">
        <v>130</v>
      </c>
      <c r="G35" s="3" t="s">
        <v>359</v>
      </c>
      <c r="H35" s="3" t="s">
        <v>1202</v>
      </c>
      <c r="I35" s="3" t="s">
        <v>360</v>
      </c>
      <c r="J35" s="3" t="s">
        <v>478</v>
      </c>
      <c r="K35" s="3" t="s">
        <v>484</v>
      </c>
      <c r="L35" s="3" t="s">
        <v>485</v>
      </c>
      <c r="M35" s="3" t="s">
        <v>292</v>
      </c>
      <c r="N35" s="3" t="s">
        <v>486</v>
      </c>
    </row>
    <row r="36" spans="2:14" ht="27.75" customHeight="1" x14ac:dyDescent="0.2">
      <c r="B36" s="3" t="s">
        <v>487</v>
      </c>
      <c r="C36" s="3"/>
      <c r="D36" s="3" t="s">
        <v>488</v>
      </c>
      <c r="E36" s="3" t="s">
        <v>489</v>
      </c>
      <c r="F36" s="3" t="s">
        <v>130</v>
      </c>
      <c r="G36" s="3" t="s">
        <v>359</v>
      </c>
      <c r="H36" s="3" t="s">
        <v>1202</v>
      </c>
      <c r="I36" s="3" t="s">
        <v>360</v>
      </c>
      <c r="J36" s="3" t="s">
        <v>478</v>
      </c>
      <c r="K36" s="3" t="s">
        <v>490</v>
      </c>
      <c r="L36" s="3" t="s">
        <v>491</v>
      </c>
      <c r="M36" s="3" t="s">
        <v>52</v>
      </c>
      <c r="N36" s="3"/>
    </row>
    <row r="37" spans="2:14" ht="27.75" customHeight="1" x14ac:dyDescent="0.2">
      <c r="B37" s="3" t="s">
        <v>492</v>
      </c>
      <c r="C37" s="3"/>
      <c r="D37" s="3" t="s">
        <v>461</v>
      </c>
      <c r="E37" s="3" t="s">
        <v>493</v>
      </c>
      <c r="F37" s="3" t="s">
        <v>130</v>
      </c>
      <c r="G37" s="3" t="s">
        <v>359</v>
      </c>
      <c r="H37" s="3" t="s">
        <v>1202</v>
      </c>
      <c r="I37" s="3" t="s">
        <v>360</v>
      </c>
      <c r="J37" s="3" t="s">
        <v>478</v>
      </c>
      <c r="K37" s="3" t="s">
        <v>494</v>
      </c>
      <c r="L37" s="3" t="s">
        <v>466</v>
      </c>
      <c r="M37" s="3" t="s">
        <v>52</v>
      </c>
      <c r="N37" s="3" t="s">
        <v>495</v>
      </c>
    </row>
    <row r="38" spans="2:14" ht="27.75" customHeight="1" x14ac:dyDescent="0.2">
      <c r="B38" s="3" t="s">
        <v>496</v>
      </c>
      <c r="C38" s="3"/>
      <c r="D38" s="3" t="s">
        <v>497</v>
      </c>
      <c r="E38" s="3" t="s">
        <v>498</v>
      </c>
      <c r="F38" s="3" t="s">
        <v>499</v>
      </c>
      <c r="G38" s="3" t="s">
        <v>500</v>
      </c>
      <c r="H38" s="3" t="s">
        <v>1202</v>
      </c>
      <c r="I38" s="3" t="s">
        <v>501</v>
      </c>
      <c r="J38" s="3" t="s">
        <v>502</v>
      </c>
      <c r="K38" s="3" t="s">
        <v>503</v>
      </c>
      <c r="L38" s="3" t="s">
        <v>504</v>
      </c>
      <c r="M38" s="3" t="s">
        <v>292</v>
      </c>
      <c r="N38" s="3" t="s">
        <v>505</v>
      </c>
    </row>
    <row r="39" spans="2:14" ht="27.75" customHeight="1" x14ac:dyDescent="0.2">
      <c r="B39" s="3" t="s">
        <v>506</v>
      </c>
      <c r="C39" s="3"/>
      <c r="D39" s="3" t="s">
        <v>497</v>
      </c>
      <c r="E39" s="3" t="s">
        <v>507</v>
      </c>
      <c r="F39" s="3" t="s">
        <v>499</v>
      </c>
      <c r="G39" s="3" t="s">
        <v>500</v>
      </c>
      <c r="H39" s="3" t="s">
        <v>1202</v>
      </c>
      <c r="I39" s="3" t="s">
        <v>501</v>
      </c>
      <c r="J39" s="3" t="s">
        <v>508</v>
      </c>
      <c r="K39" s="3" t="s">
        <v>509</v>
      </c>
      <c r="L39" s="3" t="s">
        <v>510</v>
      </c>
      <c r="M39" s="3" t="s">
        <v>292</v>
      </c>
      <c r="N39" s="3"/>
    </row>
    <row r="40" spans="2:14" ht="27.75" customHeight="1" x14ac:dyDescent="0.2">
      <c r="B40" s="3" t="s">
        <v>511</v>
      </c>
      <c r="C40" s="3"/>
      <c r="D40" s="3" t="s">
        <v>497</v>
      </c>
      <c r="E40" s="3" t="s">
        <v>512</v>
      </c>
      <c r="F40" s="3" t="s">
        <v>499</v>
      </c>
      <c r="G40" s="3" t="s">
        <v>500</v>
      </c>
      <c r="H40" s="3" t="s">
        <v>1202</v>
      </c>
      <c r="I40" s="3" t="s">
        <v>501</v>
      </c>
      <c r="J40" s="3" t="s">
        <v>513</v>
      </c>
      <c r="K40" s="3" t="s">
        <v>514</v>
      </c>
      <c r="L40" s="3" t="s">
        <v>515</v>
      </c>
      <c r="M40" s="3" t="s">
        <v>292</v>
      </c>
      <c r="N40" s="3"/>
    </row>
    <row r="41" spans="2:14" ht="27.75" customHeight="1" x14ac:dyDescent="0.2">
      <c r="B41" s="3" t="s">
        <v>516</v>
      </c>
      <c r="C41" s="3"/>
      <c r="D41" s="3" t="s">
        <v>517</v>
      </c>
      <c r="E41" s="3" t="s">
        <v>518</v>
      </c>
      <c r="F41" s="3" t="s">
        <v>499</v>
      </c>
      <c r="G41" s="3" t="s">
        <v>500</v>
      </c>
      <c r="H41" s="3" t="s">
        <v>1202</v>
      </c>
      <c r="I41" s="3" t="s">
        <v>501</v>
      </c>
      <c r="J41" s="3" t="s">
        <v>519</v>
      </c>
      <c r="K41" s="3" t="s">
        <v>520</v>
      </c>
      <c r="L41" s="3" t="s">
        <v>521</v>
      </c>
      <c r="M41" s="3" t="s">
        <v>292</v>
      </c>
      <c r="N41" s="3"/>
    </row>
    <row r="42" spans="2:14" ht="27.75" customHeight="1" x14ac:dyDescent="0.2">
      <c r="B42" s="3" t="s">
        <v>522</v>
      </c>
      <c r="C42" s="3"/>
      <c r="D42" s="3" t="s">
        <v>517</v>
      </c>
      <c r="E42" s="3" t="s">
        <v>523</v>
      </c>
      <c r="F42" s="3" t="s">
        <v>524</v>
      </c>
      <c r="G42" s="3" t="s">
        <v>500</v>
      </c>
      <c r="H42" s="3" t="s">
        <v>1202</v>
      </c>
      <c r="I42" s="3" t="s">
        <v>501</v>
      </c>
      <c r="J42" s="3" t="s">
        <v>525</v>
      </c>
      <c r="K42" s="3" t="s">
        <v>526</v>
      </c>
      <c r="L42" s="3" t="s">
        <v>527</v>
      </c>
      <c r="M42" s="3" t="s">
        <v>292</v>
      </c>
      <c r="N42" s="3" t="s">
        <v>528</v>
      </c>
    </row>
    <row r="43" spans="2:14" ht="27.75" customHeight="1" x14ac:dyDescent="0.2">
      <c r="B43" s="3" t="s">
        <v>529</v>
      </c>
      <c r="C43" s="3"/>
      <c r="D43" s="3" t="s">
        <v>530</v>
      </c>
      <c r="E43" s="3" t="s">
        <v>531</v>
      </c>
      <c r="F43" s="3" t="s">
        <v>499</v>
      </c>
      <c r="G43" s="3" t="s">
        <v>500</v>
      </c>
      <c r="H43" s="3" t="s">
        <v>1202</v>
      </c>
      <c r="I43" s="3" t="s">
        <v>501</v>
      </c>
      <c r="J43" s="3" t="s">
        <v>532</v>
      </c>
      <c r="K43" s="3" t="s">
        <v>533</v>
      </c>
      <c r="L43" s="3" t="s">
        <v>534</v>
      </c>
      <c r="M43" s="3" t="s">
        <v>292</v>
      </c>
      <c r="N43" s="3" t="s">
        <v>535</v>
      </c>
    </row>
    <row r="44" spans="2:14" ht="27.75" customHeight="1" x14ac:dyDescent="0.2">
      <c r="B44" s="3" t="s">
        <v>536</v>
      </c>
      <c r="C44" s="3"/>
      <c r="D44" s="3" t="s">
        <v>461</v>
      </c>
      <c r="E44" s="3" t="s">
        <v>537</v>
      </c>
      <c r="F44" s="3" t="s">
        <v>499</v>
      </c>
      <c r="G44" s="3" t="s">
        <v>500</v>
      </c>
      <c r="H44" s="3" t="s">
        <v>1202</v>
      </c>
      <c r="I44" s="3" t="s">
        <v>501</v>
      </c>
      <c r="J44" s="3" t="s">
        <v>538</v>
      </c>
      <c r="K44" s="3" t="s">
        <v>539</v>
      </c>
      <c r="L44" s="3" t="s">
        <v>540</v>
      </c>
      <c r="M44" s="3" t="s">
        <v>52</v>
      </c>
      <c r="N44" s="3"/>
    </row>
    <row r="45" spans="2:14" ht="27.75" customHeight="1" x14ac:dyDescent="0.2">
      <c r="B45" s="3" t="s">
        <v>541</v>
      </c>
      <c r="C45" s="3"/>
      <c r="D45" s="3" t="s">
        <v>461</v>
      </c>
      <c r="E45" s="3" t="s">
        <v>542</v>
      </c>
      <c r="F45" s="3" t="s">
        <v>499</v>
      </c>
      <c r="G45" s="3" t="s">
        <v>500</v>
      </c>
      <c r="H45" s="3" t="s">
        <v>1202</v>
      </c>
      <c r="I45" s="3" t="s">
        <v>501</v>
      </c>
      <c r="J45" s="3" t="s">
        <v>543</v>
      </c>
      <c r="K45" s="3" t="s">
        <v>544</v>
      </c>
      <c r="L45" s="3" t="s">
        <v>540</v>
      </c>
      <c r="M45" s="3" t="s">
        <v>52</v>
      </c>
      <c r="N45" s="3"/>
    </row>
    <row r="46" spans="2:14" ht="27.75" customHeight="1" x14ac:dyDescent="0.2">
      <c r="B46" s="3" t="s">
        <v>545</v>
      </c>
      <c r="C46" s="3"/>
      <c r="D46" s="3" t="s">
        <v>546</v>
      </c>
      <c r="E46" s="3" t="s">
        <v>547</v>
      </c>
      <c r="F46" s="3" t="s">
        <v>130</v>
      </c>
      <c r="G46" s="3" t="s">
        <v>500</v>
      </c>
      <c r="H46" s="3" t="s">
        <v>1202</v>
      </c>
      <c r="I46" s="3" t="s">
        <v>501</v>
      </c>
      <c r="J46" s="3" t="s">
        <v>548</v>
      </c>
      <c r="K46" s="3" t="s">
        <v>549</v>
      </c>
      <c r="L46" s="3" t="s">
        <v>550</v>
      </c>
      <c r="M46" s="3" t="s">
        <v>292</v>
      </c>
      <c r="N46" s="3" t="s">
        <v>551</v>
      </c>
    </row>
    <row r="47" spans="2:14" ht="27.75" customHeight="1" x14ac:dyDescent="0.2">
      <c r="B47" s="3" t="s">
        <v>552</v>
      </c>
      <c r="C47" s="3"/>
      <c r="D47" s="3" t="s">
        <v>530</v>
      </c>
      <c r="E47" s="3" t="s">
        <v>553</v>
      </c>
      <c r="F47" s="3" t="s">
        <v>130</v>
      </c>
      <c r="G47" s="3" t="s">
        <v>500</v>
      </c>
      <c r="H47" s="3" t="s">
        <v>1202</v>
      </c>
      <c r="I47" s="3" t="s">
        <v>501</v>
      </c>
      <c r="J47" s="3" t="s">
        <v>548</v>
      </c>
      <c r="K47" s="3" t="s">
        <v>554</v>
      </c>
      <c r="L47" s="3" t="s">
        <v>555</v>
      </c>
      <c r="M47" s="3" t="s">
        <v>292</v>
      </c>
      <c r="N47" s="3"/>
    </row>
    <row r="48" spans="2:14" ht="27.75" customHeight="1" x14ac:dyDescent="0.2">
      <c r="B48" s="3" t="s">
        <v>556</v>
      </c>
      <c r="C48" s="3"/>
      <c r="D48" s="3" t="s">
        <v>557</v>
      </c>
      <c r="E48" s="3" t="s">
        <v>558</v>
      </c>
      <c r="F48" s="3" t="s">
        <v>130</v>
      </c>
      <c r="G48" s="3" t="s">
        <v>500</v>
      </c>
      <c r="H48" s="3" t="s">
        <v>1202</v>
      </c>
      <c r="I48" s="3" t="s">
        <v>501</v>
      </c>
      <c r="J48" s="3" t="s">
        <v>548</v>
      </c>
      <c r="K48" s="3" t="s">
        <v>559</v>
      </c>
      <c r="L48" s="3" t="s">
        <v>560</v>
      </c>
      <c r="M48" s="3" t="s">
        <v>52</v>
      </c>
      <c r="N48" s="3" t="s">
        <v>561</v>
      </c>
    </row>
    <row r="49" spans="2:14" ht="27.75" customHeight="1" x14ac:dyDescent="0.2">
      <c r="B49" s="3" t="s">
        <v>562</v>
      </c>
      <c r="C49" s="3"/>
      <c r="D49" s="3" t="s">
        <v>563</v>
      </c>
      <c r="E49" s="3" t="s">
        <v>564</v>
      </c>
      <c r="F49" s="3" t="s">
        <v>130</v>
      </c>
      <c r="G49" s="3" t="s">
        <v>500</v>
      </c>
      <c r="H49" s="3" t="s">
        <v>1202</v>
      </c>
      <c r="I49" s="3" t="s">
        <v>501</v>
      </c>
      <c r="J49" s="3" t="s">
        <v>548</v>
      </c>
      <c r="K49" s="3" t="s">
        <v>565</v>
      </c>
      <c r="L49" s="3" t="s">
        <v>566</v>
      </c>
      <c r="M49" s="3" t="s">
        <v>52</v>
      </c>
      <c r="N49" s="3" t="s">
        <v>567</v>
      </c>
    </row>
    <row r="50" spans="2:14" ht="27.75" customHeight="1" x14ac:dyDescent="0.2">
      <c r="B50" s="3" t="s">
        <v>568</v>
      </c>
      <c r="C50" s="3" t="s">
        <v>569</v>
      </c>
      <c r="D50" s="3" t="s">
        <v>570</v>
      </c>
      <c r="E50" s="3" t="s">
        <v>571</v>
      </c>
      <c r="F50" s="3" t="s">
        <v>381</v>
      </c>
      <c r="G50" s="3" t="s">
        <v>359</v>
      </c>
      <c r="H50" s="3" t="s">
        <v>99</v>
      </c>
      <c r="I50" s="3" t="s">
        <v>572</v>
      </c>
      <c r="J50" s="3" t="s">
        <v>361</v>
      </c>
      <c r="K50" s="3" t="s">
        <v>573</v>
      </c>
      <c r="L50" s="3" t="s">
        <v>574</v>
      </c>
      <c r="M50" s="3" t="s">
        <v>301</v>
      </c>
      <c r="N50" s="3"/>
    </row>
    <row r="51" spans="2:14" ht="27.75" customHeight="1" x14ac:dyDescent="0.2">
      <c r="B51" s="3" t="s">
        <v>575</v>
      </c>
      <c r="C51" s="3" t="s">
        <v>576</v>
      </c>
      <c r="D51" s="3" t="s">
        <v>570</v>
      </c>
      <c r="E51" s="3" t="s">
        <v>577</v>
      </c>
      <c r="F51" s="3" t="s">
        <v>381</v>
      </c>
      <c r="G51" s="3" t="s">
        <v>359</v>
      </c>
      <c r="H51" s="3" t="s">
        <v>99</v>
      </c>
      <c r="I51" s="3" t="s">
        <v>572</v>
      </c>
      <c r="J51" s="3" t="s">
        <v>369</v>
      </c>
      <c r="K51" s="3" t="s">
        <v>578</v>
      </c>
      <c r="L51" s="3" t="s">
        <v>579</v>
      </c>
      <c r="M51" s="3" t="s">
        <v>301</v>
      </c>
      <c r="N51" s="3"/>
    </row>
    <row r="52" spans="2:14" ht="27.75" customHeight="1" x14ac:dyDescent="0.2">
      <c r="B52" s="3" t="s">
        <v>580</v>
      </c>
      <c r="C52" s="3"/>
      <c r="D52" s="3" t="s">
        <v>581</v>
      </c>
      <c r="E52" s="3" t="s">
        <v>582</v>
      </c>
      <c r="F52" s="3" t="s">
        <v>381</v>
      </c>
      <c r="G52" s="3" t="s">
        <v>359</v>
      </c>
      <c r="H52" s="3" t="s">
        <v>99</v>
      </c>
      <c r="I52" s="3" t="s">
        <v>572</v>
      </c>
      <c r="J52" s="3" t="s">
        <v>376</v>
      </c>
      <c r="K52" s="3" t="s">
        <v>583</v>
      </c>
      <c r="L52" s="3" t="s">
        <v>584</v>
      </c>
      <c r="M52" s="3" t="s">
        <v>292</v>
      </c>
      <c r="N52" s="3" t="s">
        <v>585</v>
      </c>
    </row>
    <row r="53" spans="2:14" ht="27.75" customHeight="1" x14ac:dyDescent="0.2">
      <c r="B53" s="3" t="s">
        <v>586</v>
      </c>
      <c r="C53" s="3"/>
      <c r="D53" s="3" t="s">
        <v>581</v>
      </c>
      <c r="E53" s="3" t="s">
        <v>587</v>
      </c>
      <c r="F53" s="3" t="s">
        <v>381</v>
      </c>
      <c r="G53" s="3" t="s">
        <v>359</v>
      </c>
      <c r="H53" s="3" t="s">
        <v>99</v>
      </c>
      <c r="I53" s="3" t="s">
        <v>572</v>
      </c>
      <c r="J53" s="3" t="s">
        <v>382</v>
      </c>
      <c r="K53" s="3" t="s">
        <v>588</v>
      </c>
      <c r="L53" s="3" t="s">
        <v>584</v>
      </c>
      <c r="M53" s="3" t="s">
        <v>292</v>
      </c>
      <c r="N53" s="3"/>
    </row>
    <row r="54" spans="2:14" ht="27.75" customHeight="1" x14ac:dyDescent="0.2">
      <c r="B54" s="3" t="s">
        <v>589</v>
      </c>
      <c r="C54" s="3" t="s">
        <v>590</v>
      </c>
      <c r="D54" s="3" t="s">
        <v>591</v>
      </c>
      <c r="E54" s="3" t="s">
        <v>592</v>
      </c>
      <c r="F54" s="3" t="s">
        <v>381</v>
      </c>
      <c r="G54" s="3" t="s">
        <v>359</v>
      </c>
      <c r="H54" s="3" t="s">
        <v>99</v>
      </c>
      <c r="I54" s="3" t="s">
        <v>572</v>
      </c>
      <c r="J54" s="3" t="s">
        <v>389</v>
      </c>
      <c r="K54" s="3" t="s">
        <v>593</v>
      </c>
      <c r="L54" s="3" t="s">
        <v>594</v>
      </c>
      <c r="M54" s="3" t="s">
        <v>301</v>
      </c>
      <c r="N54" s="3"/>
    </row>
    <row r="55" spans="2:14" ht="27.75" customHeight="1" x14ac:dyDescent="0.2">
      <c r="B55" s="3" t="s">
        <v>595</v>
      </c>
      <c r="C55" s="3" t="s">
        <v>596</v>
      </c>
      <c r="D55" s="3" t="s">
        <v>591</v>
      </c>
      <c r="E55" s="3" t="s">
        <v>597</v>
      </c>
      <c r="F55" s="3" t="s">
        <v>381</v>
      </c>
      <c r="G55" s="3" t="s">
        <v>359</v>
      </c>
      <c r="H55" s="3" t="s">
        <v>99</v>
      </c>
      <c r="I55" s="3" t="s">
        <v>572</v>
      </c>
      <c r="J55" s="3" t="s">
        <v>394</v>
      </c>
      <c r="K55" s="3" t="s">
        <v>598</v>
      </c>
      <c r="L55" s="3" t="s">
        <v>599</v>
      </c>
      <c r="M55" s="3" t="s">
        <v>301</v>
      </c>
      <c r="N55" s="3"/>
    </row>
    <row r="56" spans="2:14" ht="27.75" customHeight="1" x14ac:dyDescent="0.2">
      <c r="B56" s="3" t="s">
        <v>600</v>
      </c>
      <c r="C56" s="3" t="s">
        <v>601</v>
      </c>
      <c r="D56" s="3" t="s">
        <v>591</v>
      </c>
      <c r="E56" s="3" t="s">
        <v>602</v>
      </c>
      <c r="F56" s="3" t="s">
        <v>381</v>
      </c>
      <c r="G56" s="3" t="s">
        <v>359</v>
      </c>
      <c r="H56" s="3" t="s">
        <v>99</v>
      </c>
      <c r="I56" s="3" t="s">
        <v>572</v>
      </c>
      <c r="J56" s="3" t="s">
        <v>399</v>
      </c>
      <c r="K56" s="3" t="s">
        <v>603</v>
      </c>
      <c r="L56" s="3" t="s">
        <v>599</v>
      </c>
      <c r="M56" s="3" t="s">
        <v>301</v>
      </c>
      <c r="N56" s="3"/>
    </row>
    <row r="57" spans="2:14" ht="27.75" customHeight="1" x14ac:dyDescent="0.2">
      <c r="B57" s="3" t="s">
        <v>604</v>
      </c>
      <c r="C57" s="3" t="s">
        <v>605</v>
      </c>
      <c r="D57" s="3" t="s">
        <v>591</v>
      </c>
      <c r="E57" s="3" t="s">
        <v>606</v>
      </c>
      <c r="F57" s="3" t="s">
        <v>381</v>
      </c>
      <c r="G57" s="3" t="s">
        <v>359</v>
      </c>
      <c r="H57" s="3" t="s">
        <v>99</v>
      </c>
      <c r="I57" s="3" t="s">
        <v>572</v>
      </c>
      <c r="J57" s="3" t="s">
        <v>404</v>
      </c>
      <c r="K57" s="3" t="s">
        <v>607</v>
      </c>
      <c r="L57" s="3" t="s">
        <v>599</v>
      </c>
      <c r="M57" s="3" t="s">
        <v>301</v>
      </c>
      <c r="N57" s="3"/>
    </row>
    <row r="58" spans="2:14" ht="27.75" customHeight="1" x14ac:dyDescent="0.2">
      <c r="B58" s="3" t="s">
        <v>608</v>
      </c>
      <c r="C58" s="3" t="s">
        <v>609</v>
      </c>
      <c r="D58" s="3" t="s">
        <v>591</v>
      </c>
      <c r="E58" s="3" t="s">
        <v>610</v>
      </c>
      <c r="F58" s="3" t="s">
        <v>381</v>
      </c>
      <c r="G58" s="3" t="s">
        <v>359</v>
      </c>
      <c r="H58" s="3" t="s">
        <v>99</v>
      </c>
      <c r="I58" s="3" t="s">
        <v>572</v>
      </c>
      <c r="J58" s="3" t="s">
        <v>409</v>
      </c>
      <c r="K58" s="3" t="s">
        <v>611</v>
      </c>
      <c r="L58" s="3" t="s">
        <v>599</v>
      </c>
      <c r="M58" s="3" t="s">
        <v>301</v>
      </c>
      <c r="N58" s="3"/>
    </row>
    <row r="59" spans="2:14" ht="27.75" customHeight="1" x14ac:dyDescent="0.2">
      <c r="B59" s="3" t="s">
        <v>612</v>
      </c>
      <c r="C59" s="3" t="s">
        <v>613</v>
      </c>
      <c r="D59" s="3" t="s">
        <v>591</v>
      </c>
      <c r="E59" s="3" t="s">
        <v>614</v>
      </c>
      <c r="F59" s="3" t="s">
        <v>381</v>
      </c>
      <c r="G59" s="3" t="s">
        <v>359</v>
      </c>
      <c r="H59" s="3" t="s">
        <v>99</v>
      </c>
      <c r="I59" s="3" t="s">
        <v>572</v>
      </c>
      <c r="J59" s="3" t="s">
        <v>415</v>
      </c>
      <c r="K59" s="3" t="s">
        <v>615</v>
      </c>
      <c r="L59" s="3" t="s">
        <v>599</v>
      </c>
      <c r="M59" s="3" t="s">
        <v>292</v>
      </c>
      <c r="N59" s="3" t="s">
        <v>616</v>
      </c>
    </row>
    <row r="60" spans="2:14" ht="27.75" customHeight="1" x14ac:dyDescent="0.2">
      <c r="B60" s="3" t="s">
        <v>617</v>
      </c>
      <c r="C60" s="3"/>
      <c r="D60" s="3" t="s">
        <v>618</v>
      </c>
      <c r="E60" s="3" t="s">
        <v>619</v>
      </c>
      <c r="F60" s="3" t="s">
        <v>381</v>
      </c>
      <c r="G60" s="3" t="s">
        <v>359</v>
      </c>
      <c r="H60" s="3" t="s">
        <v>99</v>
      </c>
      <c r="I60" s="3" t="s">
        <v>572</v>
      </c>
      <c r="J60" s="3" t="s">
        <v>421</v>
      </c>
      <c r="K60" s="3" t="s">
        <v>620</v>
      </c>
      <c r="L60" s="3" t="s">
        <v>621</v>
      </c>
      <c r="M60" s="3" t="s">
        <v>52</v>
      </c>
      <c r="N60" s="3"/>
    </row>
    <row r="61" spans="2:14" ht="27.75" customHeight="1" x14ac:dyDescent="0.2">
      <c r="B61" s="3" t="s">
        <v>622</v>
      </c>
      <c r="C61" s="3"/>
      <c r="D61" s="3" t="s">
        <v>623</v>
      </c>
      <c r="E61" s="3" t="s">
        <v>624</v>
      </c>
      <c r="F61" s="3" t="s">
        <v>381</v>
      </c>
      <c r="G61" s="3" t="s">
        <v>359</v>
      </c>
      <c r="H61" s="3" t="s">
        <v>99</v>
      </c>
      <c r="I61" s="3" t="s">
        <v>572</v>
      </c>
      <c r="J61" s="3" t="s">
        <v>426</v>
      </c>
      <c r="K61" s="3" t="s">
        <v>625</v>
      </c>
      <c r="L61" s="3" t="s">
        <v>626</v>
      </c>
      <c r="M61" s="3" t="s">
        <v>292</v>
      </c>
      <c r="N61" s="3" t="s">
        <v>627</v>
      </c>
    </row>
    <row r="62" spans="2:14" ht="27.75" customHeight="1" x14ac:dyDescent="0.2">
      <c r="B62" s="3" t="s">
        <v>628</v>
      </c>
      <c r="C62" s="3"/>
      <c r="D62" s="3" t="s">
        <v>591</v>
      </c>
      <c r="E62" s="3" t="s">
        <v>629</v>
      </c>
      <c r="F62" s="3" t="s">
        <v>130</v>
      </c>
      <c r="G62" s="3" t="s">
        <v>359</v>
      </c>
      <c r="H62" s="3" t="s">
        <v>99</v>
      </c>
      <c r="I62" s="3" t="s">
        <v>572</v>
      </c>
      <c r="J62" s="3" t="s">
        <v>478</v>
      </c>
      <c r="K62" s="3" t="s">
        <v>630</v>
      </c>
      <c r="L62" s="3" t="s">
        <v>631</v>
      </c>
      <c r="M62" s="3" t="s">
        <v>292</v>
      </c>
      <c r="N62" s="3"/>
    </row>
    <row r="63" spans="2:14" ht="27.75" customHeight="1" x14ac:dyDescent="0.2">
      <c r="B63" s="3" t="s">
        <v>632</v>
      </c>
      <c r="C63" s="3"/>
      <c r="D63" s="3" t="s">
        <v>461</v>
      </c>
      <c r="E63" s="3" t="s">
        <v>633</v>
      </c>
      <c r="F63" s="3" t="s">
        <v>463</v>
      </c>
      <c r="G63" s="3" t="s">
        <v>359</v>
      </c>
      <c r="H63" s="3" t="s">
        <v>99</v>
      </c>
      <c r="I63" s="3" t="s">
        <v>572</v>
      </c>
      <c r="J63" s="3" t="s">
        <v>478</v>
      </c>
      <c r="K63" s="3" t="s">
        <v>634</v>
      </c>
      <c r="L63" s="3" t="s">
        <v>466</v>
      </c>
      <c r="M63" s="3" t="s">
        <v>52</v>
      </c>
      <c r="N63" s="3"/>
    </row>
    <row r="64" spans="2:14" ht="27.75" customHeight="1" x14ac:dyDescent="0.2">
      <c r="B64" s="3" t="s">
        <v>635</v>
      </c>
      <c r="C64" s="3"/>
      <c r="D64" s="3" t="s">
        <v>461</v>
      </c>
      <c r="E64" s="3" t="s">
        <v>636</v>
      </c>
      <c r="F64" s="3" t="s">
        <v>130</v>
      </c>
      <c r="G64" s="3" t="s">
        <v>359</v>
      </c>
      <c r="H64" s="3" t="s">
        <v>99</v>
      </c>
      <c r="I64" s="3" t="s">
        <v>572</v>
      </c>
      <c r="J64" s="3" t="s">
        <v>478</v>
      </c>
      <c r="K64" s="3" t="s">
        <v>637</v>
      </c>
      <c r="L64" s="3" t="s">
        <v>466</v>
      </c>
      <c r="M64" s="3" t="s">
        <v>52</v>
      </c>
      <c r="N64" s="3" t="s">
        <v>638</v>
      </c>
    </row>
    <row r="65" spans="2:14" ht="27.75" customHeight="1" x14ac:dyDescent="0.2">
      <c r="B65" s="3" t="s">
        <v>639</v>
      </c>
      <c r="C65" s="3"/>
      <c r="D65" s="3" t="s">
        <v>640</v>
      </c>
      <c r="E65" s="3" t="s">
        <v>641</v>
      </c>
      <c r="F65" s="3" t="s">
        <v>463</v>
      </c>
      <c r="G65" s="3" t="s">
        <v>359</v>
      </c>
      <c r="H65" s="3" t="s">
        <v>99</v>
      </c>
      <c r="I65" s="3" t="s">
        <v>572</v>
      </c>
      <c r="J65" s="3" t="s">
        <v>478</v>
      </c>
      <c r="K65" s="3" t="s">
        <v>642</v>
      </c>
      <c r="L65" s="3" t="s">
        <v>643</v>
      </c>
      <c r="M65" s="3" t="s">
        <v>52</v>
      </c>
      <c r="N65" s="3"/>
    </row>
    <row r="66" spans="2:14" ht="27.75" customHeight="1" x14ac:dyDescent="0.2">
      <c r="B66" s="3" t="s">
        <v>644</v>
      </c>
      <c r="C66" s="3"/>
      <c r="D66" s="3" t="s">
        <v>645</v>
      </c>
      <c r="E66" s="3" t="s">
        <v>646</v>
      </c>
      <c r="F66" s="3" t="s">
        <v>130</v>
      </c>
      <c r="G66" s="3" t="s">
        <v>359</v>
      </c>
      <c r="H66" s="3" t="s">
        <v>99</v>
      </c>
      <c r="I66" s="3" t="s">
        <v>572</v>
      </c>
      <c r="J66" s="3" t="s">
        <v>478</v>
      </c>
      <c r="K66" s="3" t="s">
        <v>647</v>
      </c>
      <c r="L66" s="3" t="s">
        <v>648</v>
      </c>
      <c r="M66" s="3" t="s">
        <v>52</v>
      </c>
      <c r="N66" s="3" t="s">
        <v>649</v>
      </c>
    </row>
    <row r="67" spans="2:14" ht="27.75" customHeight="1" x14ac:dyDescent="0.2">
      <c r="B67" s="3" t="s">
        <v>650</v>
      </c>
      <c r="C67" s="3" t="s">
        <v>651</v>
      </c>
      <c r="D67" s="3" t="s">
        <v>570</v>
      </c>
      <c r="E67" s="3" t="s">
        <v>652</v>
      </c>
      <c r="F67" s="3" t="s">
        <v>499</v>
      </c>
      <c r="G67" s="3" t="s">
        <v>500</v>
      </c>
      <c r="H67" s="3" t="s">
        <v>99</v>
      </c>
      <c r="I67" s="3" t="s">
        <v>653</v>
      </c>
      <c r="J67" s="3" t="s">
        <v>502</v>
      </c>
      <c r="K67" s="3" t="s">
        <v>654</v>
      </c>
      <c r="L67" s="3" t="s">
        <v>655</v>
      </c>
      <c r="M67" s="3" t="s">
        <v>301</v>
      </c>
      <c r="N67" s="3" t="s">
        <v>656</v>
      </c>
    </row>
    <row r="68" spans="2:14" ht="27.75" customHeight="1" x14ac:dyDescent="0.2">
      <c r="B68" s="3" t="s">
        <v>657</v>
      </c>
      <c r="C68" s="3" t="s">
        <v>658</v>
      </c>
      <c r="D68" s="3" t="s">
        <v>591</v>
      </c>
      <c r="E68" s="3" t="s">
        <v>659</v>
      </c>
      <c r="F68" s="3" t="s">
        <v>499</v>
      </c>
      <c r="G68" s="3" t="s">
        <v>500</v>
      </c>
      <c r="H68" s="3" t="s">
        <v>99</v>
      </c>
      <c r="I68" s="3" t="s">
        <v>653</v>
      </c>
      <c r="J68" s="3" t="s">
        <v>508</v>
      </c>
      <c r="K68" s="3" t="s">
        <v>660</v>
      </c>
      <c r="L68" s="3" t="s">
        <v>655</v>
      </c>
      <c r="M68" s="3" t="s">
        <v>301</v>
      </c>
      <c r="N68" s="3"/>
    </row>
    <row r="69" spans="2:14" ht="27.75" customHeight="1" x14ac:dyDescent="0.2">
      <c r="B69" s="3" t="s">
        <v>661</v>
      </c>
      <c r="C69" s="3" t="s">
        <v>662</v>
      </c>
      <c r="D69" s="3" t="s">
        <v>591</v>
      </c>
      <c r="E69" s="3" t="s">
        <v>663</v>
      </c>
      <c r="F69" s="3" t="s">
        <v>499</v>
      </c>
      <c r="G69" s="3" t="s">
        <v>500</v>
      </c>
      <c r="H69" s="3" t="s">
        <v>99</v>
      </c>
      <c r="I69" s="3" t="s">
        <v>653</v>
      </c>
      <c r="J69" s="3" t="s">
        <v>513</v>
      </c>
      <c r="K69" s="3" t="s">
        <v>664</v>
      </c>
      <c r="L69" s="3" t="s">
        <v>655</v>
      </c>
      <c r="M69" s="3" t="s">
        <v>301</v>
      </c>
      <c r="N69" s="3"/>
    </row>
    <row r="70" spans="2:14" ht="27.75" customHeight="1" x14ac:dyDescent="0.2">
      <c r="B70" s="3" t="s">
        <v>665</v>
      </c>
      <c r="C70" s="3" t="s">
        <v>666</v>
      </c>
      <c r="D70" s="3" t="s">
        <v>591</v>
      </c>
      <c r="E70" s="3" t="s">
        <v>667</v>
      </c>
      <c r="F70" s="3" t="s">
        <v>499</v>
      </c>
      <c r="G70" s="3" t="s">
        <v>500</v>
      </c>
      <c r="H70" s="3" t="s">
        <v>99</v>
      </c>
      <c r="I70" s="3" t="s">
        <v>653</v>
      </c>
      <c r="J70" s="3" t="s">
        <v>519</v>
      </c>
      <c r="K70" s="3" t="s">
        <v>668</v>
      </c>
      <c r="L70" s="3" t="s">
        <v>669</v>
      </c>
      <c r="M70" s="3" t="s">
        <v>292</v>
      </c>
      <c r="N70" s="3" t="s">
        <v>670</v>
      </c>
    </row>
    <row r="71" spans="2:14" ht="27.75" customHeight="1" x14ac:dyDescent="0.2">
      <c r="B71" s="3" t="s">
        <v>671</v>
      </c>
      <c r="C71" s="3" t="s">
        <v>672</v>
      </c>
      <c r="D71" s="3" t="s">
        <v>591</v>
      </c>
      <c r="E71" s="3" t="s">
        <v>673</v>
      </c>
      <c r="F71" s="3" t="s">
        <v>499</v>
      </c>
      <c r="G71" s="3" t="s">
        <v>500</v>
      </c>
      <c r="H71" s="3" t="s">
        <v>99</v>
      </c>
      <c r="I71" s="3" t="s">
        <v>653</v>
      </c>
      <c r="J71" s="3" t="s">
        <v>525</v>
      </c>
      <c r="K71" s="3" t="s">
        <v>674</v>
      </c>
      <c r="L71" s="3" t="s">
        <v>669</v>
      </c>
      <c r="M71" s="3" t="s">
        <v>292</v>
      </c>
      <c r="N71" s="3"/>
    </row>
    <row r="72" spans="2:14" ht="27.75" customHeight="1" x14ac:dyDescent="0.2">
      <c r="B72" s="3" t="s">
        <v>675</v>
      </c>
      <c r="C72" s="3" t="s">
        <v>676</v>
      </c>
      <c r="D72" s="3" t="s">
        <v>618</v>
      </c>
      <c r="E72" s="3" t="s">
        <v>677</v>
      </c>
      <c r="F72" s="3" t="s">
        <v>499</v>
      </c>
      <c r="G72" s="3" t="s">
        <v>500</v>
      </c>
      <c r="H72" s="3" t="s">
        <v>99</v>
      </c>
      <c r="I72" s="3" t="s">
        <v>653</v>
      </c>
      <c r="J72" s="3" t="s">
        <v>532</v>
      </c>
      <c r="K72" s="3" t="s">
        <v>678</v>
      </c>
      <c r="L72" s="3" t="s">
        <v>679</v>
      </c>
      <c r="M72" s="3" t="s">
        <v>301</v>
      </c>
      <c r="N72" s="3" t="s">
        <v>680</v>
      </c>
    </row>
    <row r="73" spans="2:14" ht="27.75" customHeight="1" x14ac:dyDescent="0.2">
      <c r="B73" s="3" t="s">
        <v>681</v>
      </c>
      <c r="C73" s="3" t="s">
        <v>682</v>
      </c>
      <c r="D73" s="3" t="s">
        <v>618</v>
      </c>
      <c r="E73" s="3" t="s">
        <v>683</v>
      </c>
      <c r="F73" s="3" t="s">
        <v>499</v>
      </c>
      <c r="G73" s="3" t="s">
        <v>500</v>
      </c>
      <c r="H73" s="3" t="s">
        <v>99</v>
      </c>
      <c r="I73" s="3" t="s">
        <v>653</v>
      </c>
      <c r="J73" s="3" t="s">
        <v>538</v>
      </c>
      <c r="K73" s="3" t="s">
        <v>684</v>
      </c>
      <c r="L73" s="3" t="s">
        <v>685</v>
      </c>
      <c r="M73" s="3" t="s">
        <v>52</v>
      </c>
      <c r="N73" s="3"/>
    </row>
    <row r="74" spans="2:14" ht="27.75" customHeight="1" x14ac:dyDescent="0.2">
      <c r="B74" s="3" t="s">
        <v>686</v>
      </c>
      <c r="C74" s="3" t="s">
        <v>687</v>
      </c>
      <c r="D74" s="3" t="s">
        <v>688</v>
      </c>
      <c r="E74" s="3" t="s">
        <v>689</v>
      </c>
      <c r="F74" s="3" t="s">
        <v>499</v>
      </c>
      <c r="G74" s="3" t="s">
        <v>500</v>
      </c>
      <c r="H74" s="3" t="s">
        <v>99</v>
      </c>
      <c r="I74" s="3" t="s">
        <v>653</v>
      </c>
      <c r="J74" s="3" t="s">
        <v>543</v>
      </c>
      <c r="K74" s="3" t="s">
        <v>690</v>
      </c>
      <c r="L74" s="3" t="s">
        <v>691</v>
      </c>
      <c r="M74" s="3" t="s">
        <v>301</v>
      </c>
      <c r="N74" s="3"/>
    </row>
    <row r="75" spans="2:14" ht="27.75" customHeight="1" x14ac:dyDescent="0.2">
      <c r="B75" s="3" t="s">
        <v>692</v>
      </c>
      <c r="C75" s="3" t="s">
        <v>693</v>
      </c>
      <c r="D75" s="3" t="s">
        <v>688</v>
      </c>
      <c r="E75" s="3" t="s">
        <v>694</v>
      </c>
      <c r="F75" s="3" t="s">
        <v>499</v>
      </c>
      <c r="G75" s="3" t="s">
        <v>500</v>
      </c>
      <c r="H75" s="3" t="s">
        <v>99</v>
      </c>
      <c r="I75" s="3" t="s">
        <v>653</v>
      </c>
      <c r="J75" s="3" t="s">
        <v>695</v>
      </c>
      <c r="K75" s="3" t="s">
        <v>696</v>
      </c>
      <c r="L75" s="3" t="s">
        <v>691</v>
      </c>
      <c r="M75" s="3" t="s">
        <v>301</v>
      </c>
      <c r="N75" s="3"/>
    </row>
    <row r="76" spans="2:14" ht="27.75" customHeight="1" x14ac:dyDescent="0.2">
      <c r="B76" s="3" t="s">
        <v>697</v>
      </c>
      <c r="C76" s="3" t="s">
        <v>698</v>
      </c>
      <c r="D76" s="3" t="s">
        <v>618</v>
      </c>
      <c r="E76" s="3" t="s">
        <v>699</v>
      </c>
      <c r="F76" s="3" t="s">
        <v>499</v>
      </c>
      <c r="G76" s="3" t="s">
        <v>500</v>
      </c>
      <c r="H76" s="3" t="s">
        <v>99</v>
      </c>
      <c r="I76" s="3" t="s">
        <v>653</v>
      </c>
      <c r="J76" s="3" t="s">
        <v>700</v>
      </c>
      <c r="K76" s="3" t="s">
        <v>701</v>
      </c>
      <c r="L76" s="3" t="s">
        <v>702</v>
      </c>
      <c r="M76" s="3" t="s">
        <v>52</v>
      </c>
      <c r="N76" s="3"/>
    </row>
    <row r="77" spans="2:14" ht="27.75" customHeight="1" x14ac:dyDescent="0.2">
      <c r="B77" s="3" t="s">
        <v>703</v>
      </c>
      <c r="C77" s="3"/>
      <c r="D77" s="3" t="s">
        <v>563</v>
      </c>
      <c r="E77" s="3" t="s">
        <v>704</v>
      </c>
      <c r="F77" s="3" t="s">
        <v>499</v>
      </c>
      <c r="G77" s="3" t="s">
        <v>500</v>
      </c>
      <c r="H77" s="3" t="s">
        <v>99</v>
      </c>
      <c r="I77" s="3" t="s">
        <v>653</v>
      </c>
      <c r="J77" s="3" t="s">
        <v>705</v>
      </c>
      <c r="K77" s="3" t="s">
        <v>706</v>
      </c>
      <c r="L77" s="3" t="s">
        <v>707</v>
      </c>
      <c r="M77" s="3" t="s">
        <v>52</v>
      </c>
      <c r="N77" s="3"/>
    </row>
    <row r="78" spans="2:14" ht="27.75" customHeight="1" x14ac:dyDescent="0.2">
      <c r="B78" s="3" t="s">
        <v>708</v>
      </c>
      <c r="C78" s="3"/>
      <c r="D78" s="3" t="s">
        <v>645</v>
      </c>
      <c r="E78" s="3" t="s">
        <v>709</v>
      </c>
      <c r="F78" s="3" t="s">
        <v>499</v>
      </c>
      <c r="G78" s="3" t="s">
        <v>500</v>
      </c>
      <c r="H78" s="3" t="s">
        <v>99</v>
      </c>
      <c r="I78" s="3" t="s">
        <v>653</v>
      </c>
      <c r="J78" s="3" t="s">
        <v>548</v>
      </c>
      <c r="K78" s="3" t="s">
        <v>710</v>
      </c>
      <c r="L78" s="3" t="s">
        <v>711</v>
      </c>
      <c r="M78" s="3" t="s">
        <v>52</v>
      </c>
      <c r="N78" s="3" t="s">
        <v>649</v>
      </c>
    </row>
    <row r="79" spans="2:14" ht="27.75" customHeight="1" x14ac:dyDescent="0.2">
      <c r="B79" s="3" t="s">
        <v>712</v>
      </c>
      <c r="C79" s="3"/>
      <c r="D79" s="3" t="s">
        <v>713</v>
      </c>
      <c r="E79" s="3" t="s">
        <v>714</v>
      </c>
      <c r="F79" s="3" t="s">
        <v>499</v>
      </c>
      <c r="G79" s="3" t="s">
        <v>500</v>
      </c>
      <c r="H79" s="3" t="s">
        <v>99</v>
      </c>
      <c r="I79" s="3" t="s">
        <v>653</v>
      </c>
      <c r="J79" s="3" t="s">
        <v>548</v>
      </c>
      <c r="K79" s="3" t="s">
        <v>715</v>
      </c>
      <c r="L79" s="3" t="s">
        <v>716</v>
      </c>
      <c r="M79" s="3" t="s">
        <v>52</v>
      </c>
      <c r="N79" s="3" t="s">
        <v>649</v>
      </c>
    </row>
    <row r="80" spans="2:14" ht="27.75" customHeight="1" x14ac:dyDescent="0.2">
      <c r="B80" s="3" t="s">
        <v>717</v>
      </c>
      <c r="C80" s="3"/>
      <c r="D80" s="3" t="s">
        <v>713</v>
      </c>
      <c r="E80" s="3" t="s">
        <v>718</v>
      </c>
      <c r="F80" s="3" t="s">
        <v>499</v>
      </c>
      <c r="G80" s="3" t="s">
        <v>500</v>
      </c>
      <c r="H80" s="3" t="s">
        <v>99</v>
      </c>
      <c r="I80" s="3" t="s">
        <v>653</v>
      </c>
      <c r="J80" s="3" t="s">
        <v>548</v>
      </c>
      <c r="K80" s="3" t="s">
        <v>719</v>
      </c>
      <c r="L80" s="3" t="s">
        <v>716</v>
      </c>
      <c r="M80" s="3" t="s">
        <v>52</v>
      </c>
      <c r="N80" s="3" t="s">
        <v>649</v>
      </c>
    </row>
    <row r="81" spans="2:14" ht="27.75" customHeight="1" x14ac:dyDescent="0.2">
      <c r="B81" s="3" t="s">
        <v>720</v>
      </c>
      <c r="C81" s="3" t="s">
        <v>721</v>
      </c>
      <c r="D81" s="3" t="s">
        <v>722</v>
      </c>
      <c r="E81" s="3" t="s">
        <v>723</v>
      </c>
      <c r="F81" s="3" t="s">
        <v>724</v>
      </c>
      <c r="G81" s="3" t="s">
        <v>725</v>
      </c>
      <c r="H81" s="3" t="s">
        <v>726</v>
      </c>
      <c r="I81" s="3" t="s">
        <v>727</v>
      </c>
      <c r="J81" s="3" t="s">
        <v>728</v>
      </c>
      <c r="K81" s="3" t="s">
        <v>729</v>
      </c>
      <c r="L81" s="3" t="s">
        <v>730</v>
      </c>
      <c r="M81" s="3" t="s">
        <v>301</v>
      </c>
      <c r="N81" s="3" t="s">
        <v>731</v>
      </c>
    </row>
    <row r="82" spans="2:14" ht="27.75" customHeight="1" x14ac:dyDescent="0.2">
      <c r="B82" s="3" t="s">
        <v>732</v>
      </c>
      <c r="C82" s="3" t="s">
        <v>733</v>
      </c>
      <c r="D82" s="3" t="s">
        <v>722</v>
      </c>
      <c r="E82" s="3" t="s">
        <v>734</v>
      </c>
      <c r="F82" s="3" t="s">
        <v>735</v>
      </c>
      <c r="G82" s="3" t="s">
        <v>725</v>
      </c>
      <c r="H82" s="3" t="s">
        <v>726</v>
      </c>
      <c r="I82" s="3" t="s">
        <v>727</v>
      </c>
      <c r="J82" s="3" t="s">
        <v>736</v>
      </c>
      <c r="K82" s="3" t="s">
        <v>737</v>
      </c>
      <c r="L82" s="3" t="s">
        <v>738</v>
      </c>
      <c r="M82" s="3" t="s">
        <v>301</v>
      </c>
      <c r="N82" s="3" t="s">
        <v>739</v>
      </c>
    </row>
    <row r="83" spans="2:14" ht="27.75" customHeight="1" x14ac:dyDescent="0.2">
      <c r="B83" s="3" t="s">
        <v>740</v>
      </c>
      <c r="C83" s="3" t="s">
        <v>741</v>
      </c>
      <c r="D83" s="3" t="s">
        <v>722</v>
      </c>
      <c r="E83" s="3" t="s">
        <v>742</v>
      </c>
      <c r="F83" s="3" t="s">
        <v>743</v>
      </c>
      <c r="G83" s="3" t="s">
        <v>725</v>
      </c>
      <c r="H83" s="3" t="s">
        <v>726</v>
      </c>
      <c r="I83" s="3" t="s">
        <v>744</v>
      </c>
      <c r="J83" s="3" t="s">
        <v>741</v>
      </c>
      <c r="K83" s="3"/>
      <c r="L83" s="3" t="s">
        <v>745</v>
      </c>
      <c r="M83" s="3" t="s">
        <v>292</v>
      </c>
      <c r="N83" s="3" t="s">
        <v>746</v>
      </c>
    </row>
    <row r="84" spans="2:14" ht="27.75" customHeight="1" x14ac:dyDescent="0.2">
      <c r="B84" s="3" t="s">
        <v>747</v>
      </c>
      <c r="C84" s="3" t="s">
        <v>748</v>
      </c>
      <c r="D84" s="3" t="s">
        <v>722</v>
      </c>
      <c r="E84" s="3" t="s">
        <v>749</v>
      </c>
      <c r="F84" s="3" t="s">
        <v>743</v>
      </c>
      <c r="G84" s="3" t="s">
        <v>725</v>
      </c>
      <c r="H84" s="3" t="s">
        <v>726</v>
      </c>
      <c r="I84" s="3" t="s">
        <v>744</v>
      </c>
      <c r="J84" s="3" t="s">
        <v>748</v>
      </c>
      <c r="K84" s="3"/>
      <c r="L84" s="3" t="s">
        <v>745</v>
      </c>
      <c r="M84" s="3" t="s">
        <v>292</v>
      </c>
      <c r="N84" s="3" t="s">
        <v>750</v>
      </c>
    </row>
    <row r="85" spans="2:14" ht="27.75" customHeight="1" x14ac:dyDescent="0.2">
      <c r="B85" s="3" t="s">
        <v>751</v>
      </c>
      <c r="C85" s="3" t="s">
        <v>752</v>
      </c>
      <c r="D85" s="3" t="s">
        <v>722</v>
      </c>
      <c r="E85" s="3" t="s">
        <v>753</v>
      </c>
      <c r="F85" s="3" t="s">
        <v>130</v>
      </c>
      <c r="G85" s="3" t="s">
        <v>754</v>
      </c>
      <c r="H85" s="3" t="s">
        <v>726</v>
      </c>
      <c r="I85" s="3" t="s">
        <v>744</v>
      </c>
      <c r="J85" s="3" t="s">
        <v>752</v>
      </c>
      <c r="K85" s="3"/>
      <c r="L85" s="3" t="s">
        <v>755</v>
      </c>
      <c r="M85" s="3" t="s">
        <v>292</v>
      </c>
      <c r="N85" s="3" t="s">
        <v>756</v>
      </c>
    </row>
    <row r="86" spans="2:14" ht="27.75" customHeight="1" x14ac:dyDescent="0.2">
      <c r="B86" s="3" t="s">
        <v>757</v>
      </c>
      <c r="C86" s="3" t="s">
        <v>758</v>
      </c>
      <c r="D86" s="3" t="s">
        <v>759</v>
      </c>
      <c r="E86" s="3" t="s">
        <v>760</v>
      </c>
      <c r="F86" s="3" t="s">
        <v>761</v>
      </c>
      <c r="G86" s="3" t="s">
        <v>725</v>
      </c>
      <c r="H86" s="3" t="s">
        <v>726</v>
      </c>
      <c r="I86" s="3" t="s">
        <v>744</v>
      </c>
      <c r="J86" s="3" t="s">
        <v>758</v>
      </c>
      <c r="K86" s="3"/>
      <c r="L86" s="3" t="s">
        <v>762</v>
      </c>
      <c r="M86" s="3" t="s">
        <v>301</v>
      </c>
      <c r="N86" s="3" t="s">
        <v>763</v>
      </c>
    </row>
    <row r="87" spans="2:14" ht="27.75" customHeight="1" x14ac:dyDescent="0.2">
      <c r="B87" s="3" t="s">
        <v>764</v>
      </c>
      <c r="C87" s="3" t="s">
        <v>765</v>
      </c>
      <c r="D87" s="3" t="s">
        <v>722</v>
      </c>
      <c r="E87" s="3" t="s">
        <v>766</v>
      </c>
      <c r="F87" s="3" t="s">
        <v>767</v>
      </c>
      <c r="G87" s="3" t="s">
        <v>725</v>
      </c>
      <c r="H87" s="3" t="s">
        <v>768</v>
      </c>
      <c r="I87" s="3" t="s">
        <v>744</v>
      </c>
      <c r="J87" s="3" t="s">
        <v>765</v>
      </c>
      <c r="K87" s="3"/>
      <c r="L87" s="3" t="s">
        <v>769</v>
      </c>
      <c r="M87" s="3" t="s">
        <v>301</v>
      </c>
      <c r="N87" s="3" t="s">
        <v>770</v>
      </c>
    </row>
    <row r="88" spans="2:14" ht="27.75" customHeight="1" x14ac:dyDescent="0.2">
      <c r="B88" s="3" t="s">
        <v>771</v>
      </c>
      <c r="C88" s="3" t="s">
        <v>772</v>
      </c>
      <c r="D88" s="3" t="s">
        <v>54</v>
      </c>
      <c r="E88" s="3" t="s">
        <v>773</v>
      </c>
      <c r="F88" s="3" t="s">
        <v>774</v>
      </c>
      <c r="G88" s="3" t="s">
        <v>774</v>
      </c>
      <c r="H88" s="3" t="s">
        <v>775</v>
      </c>
      <c r="I88" s="3" t="s">
        <v>776</v>
      </c>
      <c r="J88" s="3" t="s">
        <v>774</v>
      </c>
      <c r="K88" s="3" t="s">
        <v>777</v>
      </c>
      <c r="L88" s="3" t="s">
        <v>778</v>
      </c>
      <c r="M88" s="3" t="s">
        <v>52</v>
      </c>
      <c r="N88" s="3" t="s">
        <v>779</v>
      </c>
    </row>
  </sheetData>
  <autoFilter ref="B5:N88" xr:uid="{00000000-0009-0000-0000-000005000000}"/>
  <mergeCells count="1">
    <mergeCell ref="B2:N2"/>
  </mergeCells>
  <conditionalFormatting sqref="B6:Z88">
    <cfRule type="expression" dxfId="39" priority="2">
      <formula>$M6="Confirmed from notes"</formula>
    </cfRule>
    <cfRule type="expression" dxfId="38" priority="3">
      <formula>$M6="Inferred / likely"</formula>
    </cfRule>
    <cfRule type="expression" dxfId="37" priority="4">
      <formula>$M6="Verify in cabinet"</formula>
    </cfRule>
    <cfRule type="expression" dxfId="36" priority="5">
      <formula>$M6="Measure before buying"</formula>
    </cfRule>
    <cfRule type="expression" dxfId="35" priority="6">
      <formula>$M6="Optional"</formula>
    </cfRule>
  </conditionalFormatting>
  <dataValidations count="3">
    <dataValidation type="list" allowBlank="1" sqref="G6:G88" xr:uid="{00000000-0002-0000-0500-000000000000}">
      <formula1>"IN,OUT,ANALOG OUT,ENCODER IN,POWER,LOGIC,MECHANICAL,USB,TBD"</formula1>
      <formula2>0</formula2>
    </dataValidation>
    <dataValidation type="list" allowBlank="1" sqref="H6:H88" xr:uid="{00000000-0002-0000-0500-000001000000}">
      <formula1>"6i25,7i77,7i84,7i85/7i85S,LinuxCNC USB,Existing Mazak,HR-11F-24,DIN rail / panel,TBD"</formula1>
      <formula2>0</formula2>
    </dataValidation>
    <dataValidation type="list" allowBlank="1" sqref="M6:M88" xr:uid="{00000000-0002-0000-0500-000002000000}">
      <formula1>"Confirmed from notes,Inferred / likely,Verify in cabinet,Measure before buying,Optional,TBD"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N49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baseColWidth="10" defaultColWidth="8.6640625" defaultRowHeight="15" customHeight="1" x14ac:dyDescent="0.2"/>
  <cols>
    <col min="1" max="1" width="3" customWidth="1"/>
    <col min="2" max="2" width="40" customWidth="1"/>
    <col min="3" max="3" width="25.5" customWidth="1"/>
    <col min="4" max="4" width="17.33203125" customWidth="1"/>
    <col min="5" max="6" width="40" customWidth="1"/>
    <col min="7" max="7" width="12" customWidth="1"/>
    <col min="8" max="8" width="11.1640625" customWidth="1"/>
    <col min="9" max="9" width="12" customWidth="1"/>
    <col min="10" max="11" width="19.1640625" customWidth="1"/>
    <col min="12" max="12" width="40" customWidth="1"/>
    <col min="13" max="13" width="21" customWidth="1"/>
    <col min="14" max="14" width="40" customWidth="1"/>
  </cols>
  <sheetData>
    <row r="1" spans="2:14" ht="27.75" customHeight="1" x14ac:dyDescent="0.2"/>
    <row r="2" spans="2:14" ht="27.75" customHeight="1" x14ac:dyDescent="0.2">
      <c r="B2" s="11" t="s">
        <v>1220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spans="2:14" ht="27.75" customHeight="1" x14ac:dyDescent="0.2">
      <c r="B3" s="1" t="s">
        <v>1221</v>
      </c>
    </row>
    <row r="4" spans="2:14" ht="27.75" customHeight="1" x14ac:dyDescent="0.2"/>
    <row r="5" spans="2:14" ht="27.75" customHeight="1" x14ac:dyDescent="0.2">
      <c r="B5" s="2" t="s">
        <v>312</v>
      </c>
      <c r="C5" s="2" t="s">
        <v>313</v>
      </c>
      <c r="D5" s="2" t="s">
        <v>314</v>
      </c>
      <c r="E5" s="2" t="s">
        <v>315</v>
      </c>
      <c r="F5" s="2" t="s">
        <v>316</v>
      </c>
      <c r="G5" s="2" t="s">
        <v>317</v>
      </c>
      <c r="H5" s="2" t="s">
        <v>318</v>
      </c>
      <c r="I5" s="2" t="s">
        <v>319</v>
      </c>
      <c r="J5" s="2" t="s">
        <v>320</v>
      </c>
      <c r="K5" s="2" t="s">
        <v>321</v>
      </c>
      <c r="L5" s="2" t="s">
        <v>322</v>
      </c>
      <c r="M5" s="2" t="s">
        <v>34</v>
      </c>
      <c r="N5" s="2" t="s">
        <v>35</v>
      </c>
    </row>
    <row r="6" spans="2:14" ht="27.75" customHeight="1" x14ac:dyDescent="0.2">
      <c r="B6" s="3" t="s">
        <v>323</v>
      </c>
      <c r="C6" s="3"/>
      <c r="D6" s="3" t="s">
        <v>324</v>
      </c>
      <c r="E6" s="4" t="s">
        <v>325</v>
      </c>
      <c r="F6" s="3" t="s">
        <v>326</v>
      </c>
      <c r="G6" s="3" t="s">
        <v>327</v>
      </c>
      <c r="H6" s="3" t="s">
        <v>1202</v>
      </c>
      <c r="I6" s="3" t="s">
        <v>328</v>
      </c>
      <c r="J6" s="3" t="s">
        <v>329</v>
      </c>
      <c r="K6" s="3" t="s">
        <v>330</v>
      </c>
      <c r="L6" s="4" t="s">
        <v>331</v>
      </c>
      <c r="M6" s="3" t="s">
        <v>279</v>
      </c>
      <c r="N6" s="4" t="s">
        <v>332</v>
      </c>
    </row>
    <row r="7" spans="2:14" ht="27.75" customHeight="1" x14ac:dyDescent="0.2">
      <c r="B7" s="3" t="s">
        <v>333</v>
      </c>
      <c r="C7" s="3"/>
      <c r="D7" s="3" t="s">
        <v>324</v>
      </c>
      <c r="E7" s="4" t="s">
        <v>334</v>
      </c>
      <c r="F7" s="3" t="s">
        <v>326</v>
      </c>
      <c r="G7" s="3" t="s">
        <v>327</v>
      </c>
      <c r="H7" s="3" t="s">
        <v>1202</v>
      </c>
      <c r="I7" s="3" t="s">
        <v>328</v>
      </c>
      <c r="J7" s="3" t="s">
        <v>335</v>
      </c>
      <c r="K7" s="3" t="s">
        <v>336</v>
      </c>
      <c r="L7" s="4" t="s">
        <v>337</v>
      </c>
      <c r="M7" s="3" t="s">
        <v>279</v>
      </c>
      <c r="N7" s="3"/>
    </row>
    <row r="8" spans="2:14" ht="27.75" customHeight="1" x14ac:dyDescent="0.2">
      <c r="B8" s="3" t="s">
        <v>338</v>
      </c>
      <c r="C8" s="3"/>
      <c r="D8" s="3" t="s">
        <v>324</v>
      </c>
      <c r="E8" s="4" t="s">
        <v>339</v>
      </c>
      <c r="F8" s="3" t="s">
        <v>326</v>
      </c>
      <c r="G8" s="3" t="s">
        <v>327</v>
      </c>
      <c r="H8" s="3" t="s">
        <v>1202</v>
      </c>
      <c r="I8" s="3" t="s">
        <v>328</v>
      </c>
      <c r="J8" s="3" t="s">
        <v>340</v>
      </c>
      <c r="K8" s="3" t="s">
        <v>341</v>
      </c>
      <c r="L8" s="4" t="s">
        <v>342</v>
      </c>
      <c r="M8" s="3" t="s">
        <v>279</v>
      </c>
      <c r="N8" s="3"/>
    </row>
    <row r="9" spans="2:14" ht="27.75" customHeight="1" x14ac:dyDescent="0.2">
      <c r="B9" s="4" t="s">
        <v>343</v>
      </c>
      <c r="C9" s="3"/>
      <c r="D9" s="3" t="s">
        <v>287</v>
      </c>
      <c r="E9" s="4" t="s">
        <v>344</v>
      </c>
      <c r="F9" s="4" t="s">
        <v>345</v>
      </c>
      <c r="G9" s="3" t="s">
        <v>327</v>
      </c>
      <c r="H9" s="3" t="s">
        <v>1202</v>
      </c>
      <c r="I9" s="3" t="s">
        <v>328</v>
      </c>
      <c r="J9" s="3" t="s">
        <v>346</v>
      </c>
      <c r="K9" s="4" t="s">
        <v>347</v>
      </c>
      <c r="L9" s="4" t="s">
        <v>348</v>
      </c>
      <c r="M9" s="3" t="s">
        <v>292</v>
      </c>
      <c r="N9" s="4" t="s">
        <v>349</v>
      </c>
    </row>
    <row r="10" spans="2:14" ht="27.75" customHeight="1" x14ac:dyDescent="0.2">
      <c r="B10" s="3" t="s">
        <v>1203</v>
      </c>
      <c r="C10" s="3"/>
      <c r="D10" s="3" t="s">
        <v>324</v>
      </c>
      <c r="E10" s="4" t="s">
        <v>1207</v>
      </c>
      <c r="F10" s="4" t="s">
        <v>1211</v>
      </c>
      <c r="G10" s="3" t="s">
        <v>1213</v>
      </c>
      <c r="H10" s="3" t="s">
        <v>793</v>
      </c>
      <c r="I10" s="3" t="s">
        <v>1214</v>
      </c>
      <c r="J10" s="3" t="s">
        <v>789</v>
      </c>
      <c r="K10" s="3" t="s">
        <v>350</v>
      </c>
      <c r="L10" s="4" t="s">
        <v>792</v>
      </c>
      <c r="M10" s="3" t="s">
        <v>292</v>
      </c>
      <c r="N10" s="4" t="s">
        <v>1216</v>
      </c>
    </row>
    <row r="11" spans="2:14" ht="27.75" customHeight="1" x14ac:dyDescent="0.2">
      <c r="B11" s="3" t="s">
        <v>1204</v>
      </c>
      <c r="C11" s="3"/>
      <c r="D11" s="3" t="s">
        <v>324</v>
      </c>
      <c r="E11" s="4" t="s">
        <v>1208</v>
      </c>
      <c r="F11" s="4" t="s">
        <v>1211</v>
      </c>
      <c r="G11" s="3" t="s">
        <v>1213</v>
      </c>
      <c r="H11" s="3" t="s">
        <v>793</v>
      </c>
      <c r="I11" s="3" t="s">
        <v>1214</v>
      </c>
      <c r="J11" s="3" t="s">
        <v>796</v>
      </c>
      <c r="K11" s="3" t="s">
        <v>351</v>
      </c>
      <c r="L11" s="4" t="s">
        <v>797</v>
      </c>
      <c r="M11" s="3" t="s">
        <v>292</v>
      </c>
      <c r="N11" s="3" t="s">
        <v>1217</v>
      </c>
    </row>
    <row r="12" spans="2:14" ht="27.75" customHeight="1" x14ac:dyDescent="0.2">
      <c r="B12" s="3" t="s">
        <v>1205</v>
      </c>
      <c r="C12" s="3"/>
      <c r="D12" s="3" t="s">
        <v>324</v>
      </c>
      <c r="E12" s="4" t="s">
        <v>1209</v>
      </c>
      <c r="F12" s="4" t="s">
        <v>1211</v>
      </c>
      <c r="G12" s="3" t="s">
        <v>1213</v>
      </c>
      <c r="H12" s="3" t="s">
        <v>793</v>
      </c>
      <c r="I12" s="3" t="s">
        <v>1214</v>
      </c>
      <c r="J12" s="3" t="s">
        <v>800</v>
      </c>
      <c r="K12" s="3" t="s">
        <v>352</v>
      </c>
      <c r="L12" s="4" t="s">
        <v>801</v>
      </c>
      <c r="M12" s="3" t="s">
        <v>292</v>
      </c>
      <c r="N12" s="3" t="s">
        <v>1218</v>
      </c>
    </row>
    <row r="13" spans="2:14" ht="27.75" customHeight="1" x14ac:dyDescent="0.2">
      <c r="B13" s="4" t="s">
        <v>1206</v>
      </c>
      <c r="C13" s="3"/>
      <c r="D13" s="3" t="s">
        <v>287</v>
      </c>
      <c r="E13" s="4" t="s">
        <v>1210</v>
      </c>
      <c r="F13" s="4" t="s">
        <v>1212</v>
      </c>
      <c r="G13" s="3" t="s">
        <v>1213</v>
      </c>
      <c r="H13" s="3" t="s">
        <v>793</v>
      </c>
      <c r="I13" s="3" t="s">
        <v>1214</v>
      </c>
      <c r="J13" s="3" t="s">
        <v>804</v>
      </c>
      <c r="K13" s="3" t="s">
        <v>353</v>
      </c>
      <c r="L13" s="4" t="s">
        <v>1215</v>
      </c>
      <c r="M13" s="3" t="s">
        <v>292</v>
      </c>
      <c r="N13" s="4" t="s">
        <v>1219</v>
      </c>
    </row>
    <row r="14" spans="2:14" ht="27.75" customHeight="1" x14ac:dyDescent="0.2">
      <c r="B14" s="3" t="s">
        <v>354</v>
      </c>
      <c r="C14" s="3" t="s">
        <v>355</v>
      </c>
      <c r="D14" s="3" t="s">
        <v>356</v>
      </c>
      <c r="E14" s="4" t="s">
        <v>357</v>
      </c>
      <c r="F14" s="4" t="s">
        <v>358</v>
      </c>
      <c r="G14" s="3" t="s">
        <v>359</v>
      </c>
      <c r="H14" s="3" t="s">
        <v>1202</v>
      </c>
      <c r="I14" s="3" t="s">
        <v>360</v>
      </c>
      <c r="J14" s="3" t="s">
        <v>361</v>
      </c>
      <c r="K14" s="3" t="s">
        <v>362</v>
      </c>
      <c r="L14" s="4" t="s">
        <v>363</v>
      </c>
      <c r="M14" s="3" t="s">
        <v>301</v>
      </c>
      <c r="N14" s="4" t="s">
        <v>364</v>
      </c>
    </row>
    <row r="15" spans="2:14" ht="27.75" customHeight="1" x14ac:dyDescent="0.2">
      <c r="B15" s="3" t="s">
        <v>365</v>
      </c>
      <c r="C15" s="3" t="s">
        <v>366</v>
      </c>
      <c r="D15" s="3" t="s">
        <v>356</v>
      </c>
      <c r="E15" s="4" t="s">
        <v>367</v>
      </c>
      <c r="F15" s="4" t="s">
        <v>368</v>
      </c>
      <c r="G15" s="3" t="s">
        <v>359</v>
      </c>
      <c r="H15" s="3" t="s">
        <v>1202</v>
      </c>
      <c r="I15" s="3" t="s">
        <v>360</v>
      </c>
      <c r="J15" s="3" t="s">
        <v>369</v>
      </c>
      <c r="K15" s="3" t="s">
        <v>370</v>
      </c>
      <c r="L15" s="4" t="s">
        <v>371</v>
      </c>
      <c r="M15" s="3" t="s">
        <v>292</v>
      </c>
      <c r="N15" s="4" t="s">
        <v>372</v>
      </c>
    </row>
    <row r="16" spans="2:14" ht="27.75" customHeight="1" x14ac:dyDescent="0.2">
      <c r="B16" s="3" t="s">
        <v>373</v>
      </c>
      <c r="C16" s="3" t="s">
        <v>374</v>
      </c>
      <c r="D16" s="3" t="s">
        <v>356</v>
      </c>
      <c r="E16" s="4" t="s">
        <v>375</v>
      </c>
      <c r="F16" s="4" t="s">
        <v>368</v>
      </c>
      <c r="G16" s="3" t="s">
        <v>359</v>
      </c>
      <c r="H16" s="3" t="s">
        <v>1202</v>
      </c>
      <c r="I16" s="3" t="s">
        <v>360</v>
      </c>
      <c r="J16" s="3" t="s">
        <v>376</v>
      </c>
      <c r="K16" s="3" t="s">
        <v>377</v>
      </c>
      <c r="L16" s="4" t="s">
        <v>371</v>
      </c>
      <c r="M16" s="3" t="s">
        <v>292</v>
      </c>
      <c r="N16" s="4" t="s">
        <v>372</v>
      </c>
    </row>
    <row r="17" spans="2:14" ht="27.75" customHeight="1" x14ac:dyDescent="0.2">
      <c r="B17" s="3" t="s">
        <v>378</v>
      </c>
      <c r="C17" s="3" t="s">
        <v>379</v>
      </c>
      <c r="D17" s="3" t="s">
        <v>356</v>
      </c>
      <c r="E17" s="4" t="s">
        <v>380</v>
      </c>
      <c r="F17" s="3" t="s">
        <v>381</v>
      </c>
      <c r="G17" s="3" t="s">
        <v>359</v>
      </c>
      <c r="H17" s="3" t="s">
        <v>1202</v>
      </c>
      <c r="I17" s="3" t="s">
        <v>360</v>
      </c>
      <c r="J17" s="3" t="s">
        <v>382</v>
      </c>
      <c r="K17" s="3" t="s">
        <v>383</v>
      </c>
      <c r="L17" s="4" t="s">
        <v>384</v>
      </c>
      <c r="M17" s="3" t="s">
        <v>301</v>
      </c>
      <c r="N17" s="3"/>
    </row>
    <row r="18" spans="2:14" ht="27.75" customHeight="1" x14ac:dyDescent="0.2">
      <c r="B18" s="3" t="s">
        <v>385</v>
      </c>
      <c r="C18" s="3" t="s">
        <v>386</v>
      </c>
      <c r="D18" s="3" t="s">
        <v>356</v>
      </c>
      <c r="E18" s="4" t="s">
        <v>387</v>
      </c>
      <c r="F18" s="3" t="s">
        <v>388</v>
      </c>
      <c r="G18" s="3" t="s">
        <v>359</v>
      </c>
      <c r="H18" s="3" t="s">
        <v>1202</v>
      </c>
      <c r="I18" s="3" t="s">
        <v>360</v>
      </c>
      <c r="J18" s="3" t="s">
        <v>389</v>
      </c>
      <c r="K18" s="3" t="s">
        <v>390</v>
      </c>
      <c r="L18" s="4" t="s">
        <v>371</v>
      </c>
      <c r="M18" s="3" t="s">
        <v>292</v>
      </c>
      <c r="N18" s="3"/>
    </row>
    <row r="19" spans="2:14" ht="27.75" customHeight="1" x14ac:dyDescent="0.2">
      <c r="B19" s="3" t="s">
        <v>391</v>
      </c>
      <c r="C19" s="3" t="s">
        <v>392</v>
      </c>
      <c r="D19" s="3" t="s">
        <v>356</v>
      </c>
      <c r="E19" s="4" t="s">
        <v>393</v>
      </c>
      <c r="F19" s="3" t="s">
        <v>388</v>
      </c>
      <c r="G19" s="3" t="s">
        <v>359</v>
      </c>
      <c r="H19" s="3" t="s">
        <v>1202</v>
      </c>
      <c r="I19" s="3" t="s">
        <v>360</v>
      </c>
      <c r="J19" s="3" t="s">
        <v>394</v>
      </c>
      <c r="K19" s="3" t="s">
        <v>395</v>
      </c>
      <c r="L19" s="4" t="s">
        <v>371</v>
      </c>
      <c r="M19" s="3" t="s">
        <v>292</v>
      </c>
      <c r="N19" s="3"/>
    </row>
    <row r="20" spans="2:14" ht="27.75" customHeight="1" x14ac:dyDescent="0.2">
      <c r="B20" s="3" t="s">
        <v>396</v>
      </c>
      <c r="C20" s="3" t="s">
        <v>397</v>
      </c>
      <c r="D20" s="3" t="s">
        <v>356</v>
      </c>
      <c r="E20" s="4" t="s">
        <v>398</v>
      </c>
      <c r="F20" s="3" t="s">
        <v>381</v>
      </c>
      <c r="G20" s="3" t="s">
        <v>359</v>
      </c>
      <c r="H20" s="3" t="s">
        <v>1202</v>
      </c>
      <c r="I20" s="3" t="s">
        <v>360</v>
      </c>
      <c r="J20" s="3" t="s">
        <v>399</v>
      </c>
      <c r="K20" s="3" t="s">
        <v>400</v>
      </c>
      <c r="L20" s="4" t="s">
        <v>384</v>
      </c>
      <c r="M20" s="3" t="s">
        <v>301</v>
      </c>
      <c r="N20" s="3"/>
    </row>
    <row r="21" spans="2:14" ht="27.75" customHeight="1" x14ac:dyDescent="0.2">
      <c r="B21" s="3" t="s">
        <v>401</v>
      </c>
      <c r="C21" s="3" t="s">
        <v>402</v>
      </c>
      <c r="D21" s="3" t="s">
        <v>356</v>
      </c>
      <c r="E21" s="4" t="s">
        <v>403</v>
      </c>
      <c r="F21" s="3" t="s">
        <v>388</v>
      </c>
      <c r="G21" s="3" t="s">
        <v>359</v>
      </c>
      <c r="H21" s="3" t="s">
        <v>1202</v>
      </c>
      <c r="I21" s="3" t="s">
        <v>360</v>
      </c>
      <c r="J21" s="3" t="s">
        <v>404</v>
      </c>
      <c r="K21" s="3" t="s">
        <v>405</v>
      </c>
      <c r="L21" s="4" t="s">
        <v>371</v>
      </c>
      <c r="M21" s="3" t="s">
        <v>292</v>
      </c>
      <c r="N21" s="3"/>
    </row>
    <row r="22" spans="2:14" ht="27.75" customHeight="1" x14ac:dyDescent="0.2">
      <c r="B22" s="3" t="s">
        <v>406</v>
      </c>
      <c r="C22" s="3" t="s">
        <v>407</v>
      </c>
      <c r="D22" s="3" t="s">
        <v>356</v>
      </c>
      <c r="E22" s="4" t="s">
        <v>408</v>
      </c>
      <c r="F22" s="3" t="s">
        <v>388</v>
      </c>
      <c r="G22" s="3" t="s">
        <v>359</v>
      </c>
      <c r="H22" s="3" t="s">
        <v>1202</v>
      </c>
      <c r="I22" s="3" t="s">
        <v>360</v>
      </c>
      <c r="J22" s="3" t="s">
        <v>409</v>
      </c>
      <c r="K22" s="3" t="s">
        <v>410</v>
      </c>
      <c r="L22" s="4" t="s">
        <v>371</v>
      </c>
      <c r="M22" s="3" t="s">
        <v>292</v>
      </c>
      <c r="N22" s="3"/>
    </row>
    <row r="23" spans="2:14" ht="27.75" customHeight="1" x14ac:dyDescent="0.2">
      <c r="B23" s="3" t="s">
        <v>411</v>
      </c>
      <c r="C23" s="3"/>
      <c r="D23" s="3" t="s">
        <v>412</v>
      </c>
      <c r="E23" s="4" t="s">
        <v>413</v>
      </c>
      <c r="F23" s="4" t="s">
        <v>414</v>
      </c>
      <c r="G23" s="3" t="s">
        <v>359</v>
      </c>
      <c r="H23" s="3" t="s">
        <v>1202</v>
      </c>
      <c r="I23" s="3" t="s">
        <v>360</v>
      </c>
      <c r="J23" s="3" t="s">
        <v>415</v>
      </c>
      <c r="K23" s="3" t="s">
        <v>416</v>
      </c>
      <c r="L23" s="4" t="s">
        <v>417</v>
      </c>
      <c r="M23" s="3" t="s">
        <v>292</v>
      </c>
      <c r="N23" s="4" t="s">
        <v>418</v>
      </c>
    </row>
    <row r="24" spans="2:14" ht="27.75" customHeight="1" x14ac:dyDescent="0.2">
      <c r="B24" s="3" t="s">
        <v>419</v>
      </c>
      <c r="C24" s="3"/>
      <c r="D24" s="3" t="s">
        <v>412</v>
      </c>
      <c r="E24" s="4" t="s">
        <v>420</v>
      </c>
      <c r="F24" s="4" t="s">
        <v>414</v>
      </c>
      <c r="G24" s="3" t="s">
        <v>359</v>
      </c>
      <c r="H24" s="3" t="s">
        <v>1202</v>
      </c>
      <c r="I24" s="3" t="s">
        <v>360</v>
      </c>
      <c r="J24" s="3" t="s">
        <v>421</v>
      </c>
      <c r="K24" s="3" t="s">
        <v>422</v>
      </c>
      <c r="L24" s="4" t="s">
        <v>423</v>
      </c>
      <c r="M24" s="3" t="s">
        <v>292</v>
      </c>
      <c r="N24" s="3"/>
    </row>
    <row r="25" spans="2:14" ht="27.75" customHeight="1" x14ac:dyDescent="0.2">
      <c r="B25" s="3" t="s">
        <v>424</v>
      </c>
      <c r="C25" s="3"/>
      <c r="D25" s="3" t="s">
        <v>412</v>
      </c>
      <c r="E25" s="4" t="s">
        <v>425</v>
      </c>
      <c r="F25" s="4" t="s">
        <v>414</v>
      </c>
      <c r="G25" s="3" t="s">
        <v>359</v>
      </c>
      <c r="H25" s="3" t="s">
        <v>1202</v>
      </c>
      <c r="I25" s="3" t="s">
        <v>360</v>
      </c>
      <c r="J25" s="3" t="s">
        <v>426</v>
      </c>
      <c r="K25" s="3" t="s">
        <v>427</v>
      </c>
      <c r="L25" s="4" t="s">
        <v>428</v>
      </c>
      <c r="M25" s="3" t="s">
        <v>292</v>
      </c>
      <c r="N25" s="3"/>
    </row>
    <row r="26" spans="2:14" ht="27.75" customHeight="1" x14ac:dyDescent="0.2">
      <c r="B26" s="3" t="s">
        <v>429</v>
      </c>
      <c r="C26" s="3"/>
      <c r="D26" s="3" t="s">
        <v>430</v>
      </c>
      <c r="E26" s="4" t="s">
        <v>431</v>
      </c>
      <c r="F26" s="4" t="s">
        <v>414</v>
      </c>
      <c r="G26" s="3" t="s">
        <v>359</v>
      </c>
      <c r="H26" s="3" t="s">
        <v>1202</v>
      </c>
      <c r="I26" s="3" t="s">
        <v>360</v>
      </c>
      <c r="J26" s="3" t="s">
        <v>432</v>
      </c>
      <c r="K26" s="3" t="s">
        <v>433</v>
      </c>
      <c r="L26" s="4" t="s">
        <v>434</v>
      </c>
      <c r="M26" s="3" t="s">
        <v>292</v>
      </c>
      <c r="N26" s="3"/>
    </row>
    <row r="27" spans="2:14" ht="27.75" customHeight="1" x14ac:dyDescent="0.2">
      <c r="B27" s="3" t="s">
        <v>435</v>
      </c>
      <c r="C27" s="3"/>
      <c r="D27" s="3" t="s">
        <v>436</v>
      </c>
      <c r="E27" s="4" t="s">
        <v>437</v>
      </c>
      <c r="F27" s="4" t="s">
        <v>438</v>
      </c>
      <c r="G27" s="3" t="s">
        <v>359</v>
      </c>
      <c r="H27" s="3" t="s">
        <v>1202</v>
      </c>
      <c r="I27" s="3" t="s">
        <v>360</v>
      </c>
      <c r="J27" s="3" t="s">
        <v>439</v>
      </c>
      <c r="K27" s="3" t="s">
        <v>440</v>
      </c>
      <c r="L27" s="4" t="s">
        <v>441</v>
      </c>
      <c r="M27" s="3" t="s">
        <v>292</v>
      </c>
      <c r="N27" s="4" t="s">
        <v>442</v>
      </c>
    </row>
    <row r="28" spans="2:14" ht="27.75" customHeight="1" x14ac:dyDescent="0.2">
      <c r="B28" s="3" t="s">
        <v>443</v>
      </c>
      <c r="C28" s="3"/>
      <c r="D28" s="3" t="s">
        <v>436</v>
      </c>
      <c r="E28" s="3" t="s">
        <v>444</v>
      </c>
      <c r="F28" s="3" t="s">
        <v>381</v>
      </c>
      <c r="G28" s="3" t="s">
        <v>359</v>
      </c>
      <c r="H28" s="3" t="s">
        <v>1202</v>
      </c>
      <c r="I28" s="3" t="s">
        <v>360</v>
      </c>
      <c r="J28" s="3" t="s">
        <v>445</v>
      </c>
      <c r="K28" s="3" t="s">
        <v>446</v>
      </c>
      <c r="L28" s="4" t="s">
        <v>447</v>
      </c>
      <c r="M28" s="3" t="s">
        <v>292</v>
      </c>
      <c r="N28" s="3"/>
    </row>
    <row r="29" spans="2:14" ht="27.75" customHeight="1" x14ac:dyDescent="0.2">
      <c r="B29" s="3" t="s">
        <v>448</v>
      </c>
      <c r="C29" s="3"/>
      <c r="D29" s="3" t="s">
        <v>449</v>
      </c>
      <c r="E29" s="4" t="s">
        <v>450</v>
      </c>
      <c r="F29" s="3" t="s">
        <v>381</v>
      </c>
      <c r="G29" s="3" t="s">
        <v>359</v>
      </c>
      <c r="H29" s="3" t="s">
        <v>1202</v>
      </c>
      <c r="I29" s="3" t="s">
        <v>360</v>
      </c>
      <c r="J29" s="3" t="s">
        <v>451</v>
      </c>
      <c r="K29" s="3" t="s">
        <v>452</v>
      </c>
      <c r="L29" s="4" t="s">
        <v>453</v>
      </c>
      <c r="M29" s="3" t="s">
        <v>292</v>
      </c>
      <c r="N29" s="3"/>
    </row>
    <row r="30" spans="2:14" ht="27.75" customHeight="1" x14ac:dyDescent="0.2">
      <c r="B30" s="3" t="s">
        <v>454</v>
      </c>
      <c r="C30" s="3"/>
      <c r="D30" s="4" t="s">
        <v>455</v>
      </c>
      <c r="E30" s="4" t="s">
        <v>456</v>
      </c>
      <c r="F30" s="3" t="s">
        <v>381</v>
      </c>
      <c r="G30" s="3" t="s">
        <v>359</v>
      </c>
      <c r="H30" s="3" t="s">
        <v>1202</v>
      </c>
      <c r="I30" s="3" t="s">
        <v>360</v>
      </c>
      <c r="J30" s="3" t="s">
        <v>457</v>
      </c>
      <c r="K30" s="3" t="s">
        <v>458</v>
      </c>
      <c r="L30" s="4" t="s">
        <v>459</v>
      </c>
      <c r="M30" s="3" t="s">
        <v>292</v>
      </c>
      <c r="N30" s="3"/>
    </row>
    <row r="31" spans="2:14" ht="27.75" customHeight="1" x14ac:dyDescent="0.2">
      <c r="B31" s="3" t="s">
        <v>460</v>
      </c>
      <c r="C31" s="3"/>
      <c r="D31" s="3" t="s">
        <v>461</v>
      </c>
      <c r="E31" s="4" t="s">
        <v>462</v>
      </c>
      <c r="F31" s="3" t="s">
        <v>463</v>
      </c>
      <c r="G31" s="3" t="s">
        <v>359</v>
      </c>
      <c r="H31" s="3" t="s">
        <v>1202</v>
      </c>
      <c r="I31" s="3" t="s">
        <v>360</v>
      </c>
      <c r="J31" s="3" t="s">
        <v>464</v>
      </c>
      <c r="K31" s="3" t="s">
        <v>465</v>
      </c>
      <c r="L31" s="3" t="s">
        <v>466</v>
      </c>
      <c r="M31" s="3" t="s">
        <v>52</v>
      </c>
      <c r="N31" s="4" t="s">
        <v>467</v>
      </c>
    </row>
    <row r="32" spans="2:14" ht="27.75" customHeight="1" x14ac:dyDescent="0.2">
      <c r="B32" s="3" t="s">
        <v>468</v>
      </c>
      <c r="C32" s="3"/>
      <c r="D32" s="3" t="s">
        <v>461</v>
      </c>
      <c r="E32" s="4" t="s">
        <v>469</v>
      </c>
      <c r="F32" s="3" t="s">
        <v>463</v>
      </c>
      <c r="G32" s="3" t="s">
        <v>359</v>
      </c>
      <c r="H32" s="3" t="s">
        <v>1202</v>
      </c>
      <c r="I32" s="3" t="s">
        <v>360</v>
      </c>
      <c r="J32" s="3" t="s">
        <v>470</v>
      </c>
      <c r="K32" s="3" t="s">
        <v>471</v>
      </c>
      <c r="L32" s="3" t="s">
        <v>466</v>
      </c>
      <c r="M32" s="3" t="s">
        <v>52</v>
      </c>
      <c r="N32" s="3"/>
    </row>
    <row r="33" spans="2:14" ht="27.75" customHeight="1" x14ac:dyDescent="0.2">
      <c r="B33" s="4" t="s">
        <v>472</v>
      </c>
      <c r="C33" s="3"/>
      <c r="D33" s="3" t="s">
        <v>461</v>
      </c>
      <c r="E33" s="4" t="s">
        <v>473</v>
      </c>
      <c r="F33" s="3" t="s">
        <v>381</v>
      </c>
      <c r="G33" s="3" t="s">
        <v>359</v>
      </c>
      <c r="H33" s="3" t="s">
        <v>1202</v>
      </c>
      <c r="I33" s="3" t="s">
        <v>360</v>
      </c>
      <c r="J33" s="3" t="s">
        <v>474</v>
      </c>
      <c r="K33" s="3" t="s">
        <v>475</v>
      </c>
      <c r="L33" s="3" t="s">
        <v>466</v>
      </c>
      <c r="M33" s="3" t="s">
        <v>52</v>
      </c>
      <c r="N33" s="3"/>
    </row>
    <row r="34" spans="2:14" ht="27.75" customHeight="1" x14ac:dyDescent="0.2">
      <c r="B34" s="4" t="s">
        <v>476</v>
      </c>
      <c r="C34" s="3"/>
      <c r="D34" s="3" t="s">
        <v>430</v>
      </c>
      <c r="E34" s="4" t="s">
        <v>477</v>
      </c>
      <c r="F34" s="3" t="s">
        <v>130</v>
      </c>
      <c r="G34" s="3" t="s">
        <v>359</v>
      </c>
      <c r="H34" s="3" t="s">
        <v>1202</v>
      </c>
      <c r="I34" s="3" t="s">
        <v>360</v>
      </c>
      <c r="J34" s="3" t="s">
        <v>478</v>
      </c>
      <c r="K34" s="4" t="s">
        <v>479</v>
      </c>
      <c r="L34" s="4" t="s">
        <v>480</v>
      </c>
      <c r="M34" s="3" t="s">
        <v>292</v>
      </c>
      <c r="N34" s="4" t="s">
        <v>481</v>
      </c>
    </row>
    <row r="35" spans="2:14" ht="27.75" customHeight="1" x14ac:dyDescent="0.2">
      <c r="B35" s="3" t="s">
        <v>482</v>
      </c>
      <c r="C35" s="3"/>
      <c r="D35" s="3" t="s">
        <v>412</v>
      </c>
      <c r="E35" s="4" t="s">
        <v>483</v>
      </c>
      <c r="F35" s="3" t="s">
        <v>130</v>
      </c>
      <c r="G35" s="3" t="s">
        <v>359</v>
      </c>
      <c r="H35" s="3" t="s">
        <v>1202</v>
      </c>
      <c r="I35" s="3" t="s">
        <v>360</v>
      </c>
      <c r="J35" s="3" t="s">
        <v>478</v>
      </c>
      <c r="K35" s="3" t="s">
        <v>484</v>
      </c>
      <c r="L35" s="4" t="s">
        <v>485</v>
      </c>
      <c r="M35" s="3" t="s">
        <v>292</v>
      </c>
      <c r="N35" s="4" t="s">
        <v>486</v>
      </c>
    </row>
    <row r="36" spans="2:14" ht="27.75" customHeight="1" x14ac:dyDescent="0.2">
      <c r="B36" s="4" t="s">
        <v>487</v>
      </c>
      <c r="C36" s="3"/>
      <c r="D36" s="3" t="s">
        <v>488</v>
      </c>
      <c r="E36" s="4" t="s">
        <v>489</v>
      </c>
      <c r="F36" s="3" t="s">
        <v>130</v>
      </c>
      <c r="G36" s="3" t="s">
        <v>359</v>
      </c>
      <c r="H36" s="3" t="s">
        <v>1202</v>
      </c>
      <c r="I36" s="3" t="s">
        <v>360</v>
      </c>
      <c r="J36" s="3" t="s">
        <v>478</v>
      </c>
      <c r="K36" s="3" t="s">
        <v>490</v>
      </c>
      <c r="L36" s="4" t="s">
        <v>491</v>
      </c>
      <c r="M36" s="3" t="s">
        <v>52</v>
      </c>
      <c r="N36" s="3"/>
    </row>
    <row r="37" spans="2:14" ht="27.75" customHeight="1" x14ac:dyDescent="0.2">
      <c r="B37" s="3" t="s">
        <v>492</v>
      </c>
      <c r="C37" s="3"/>
      <c r="D37" s="3" t="s">
        <v>461</v>
      </c>
      <c r="E37" s="4" t="s">
        <v>493</v>
      </c>
      <c r="F37" s="3" t="s">
        <v>130</v>
      </c>
      <c r="G37" s="3" t="s">
        <v>359</v>
      </c>
      <c r="H37" s="3" t="s">
        <v>1202</v>
      </c>
      <c r="I37" s="3" t="s">
        <v>360</v>
      </c>
      <c r="J37" s="3" t="s">
        <v>478</v>
      </c>
      <c r="K37" s="3" t="s">
        <v>494</v>
      </c>
      <c r="L37" s="3" t="s">
        <v>466</v>
      </c>
      <c r="M37" s="3" t="s">
        <v>52</v>
      </c>
      <c r="N37" s="4" t="s">
        <v>495</v>
      </c>
    </row>
    <row r="38" spans="2:14" ht="27.75" customHeight="1" x14ac:dyDescent="0.2">
      <c r="B38" s="3" t="s">
        <v>496</v>
      </c>
      <c r="C38" s="3"/>
      <c r="D38" s="3" t="s">
        <v>497</v>
      </c>
      <c r="E38" s="4" t="s">
        <v>498</v>
      </c>
      <c r="F38" s="4" t="s">
        <v>499</v>
      </c>
      <c r="G38" s="3" t="s">
        <v>500</v>
      </c>
      <c r="H38" s="3" t="s">
        <v>1202</v>
      </c>
      <c r="I38" s="3" t="s">
        <v>501</v>
      </c>
      <c r="J38" s="3" t="s">
        <v>502</v>
      </c>
      <c r="K38" s="3" t="s">
        <v>503</v>
      </c>
      <c r="L38" s="4" t="s">
        <v>504</v>
      </c>
      <c r="M38" s="3" t="s">
        <v>292</v>
      </c>
      <c r="N38" s="4" t="s">
        <v>505</v>
      </c>
    </row>
    <row r="39" spans="2:14" ht="27.75" customHeight="1" x14ac:dyDescent="0.2">
      <c r="B39" s="3" t="s">
        <v>506</v>
      </c>
      <c r="C39" s="3"/>
      <c r="D39" s="3" t="s">
        <v>497</v>
      </c>
      <c r="E39" s="4" t="s">
        <v>507</v>
      </c>
      <c r="F39" s="4" t="s">
        <v>499</v>
      </c>
      <c r="G39" s="3" t="s">
        <v>500</v>
      </c>
      <c r="H39" s="3" t="s">
        <v>1202</v>
      </c>
      <c r="I39" s="3" t="s">
        <v>501</v>
      </c>
      <c r="J39" s="3" t="s">
        <v>508</v>
      </c>
      <c r="K39" s="3" t="s">
        <v>509</v>
      </c>
      <c r="L39" s="4" t="s">
        <v>510</v>
      </c>
      <c r="M39" s="3" t="s">
        <v>292</v>
      </c>
      <c r="N39" s="3"/>
    </row>
    <row r="40" spans="2:14" ht="27.75" customHeight="1" x14ac:dyDescent="0.2">
      <c r="B40" s="3" t="s">
        <v>511</v>
      </c>
      <c r="C40" s="3"/>
      <c r="D40" s="3" t="s">
        <v>497</v>
      </c>
      <c r="E40" s="4" t="s">
        <v>512</v>
      </c>
      <c r="F40" s="4" t="s">
        <v>499</v>
      </c>
      <c r="G40" s="3" t="s">
        <v>500</v>
      </c>
      <c r="H40" s="3" t="s">
        <v>1202</v>
      </c>
      <c r="I40" s="3" t="s">
        <v>501</v>
      </c>
      <c r="J40" s="3" t="s">
        <v>513</v>
      </c>
      <c r="K40" s="3" t="s">
        <v>514</v>
      </c>
      <c r="L40" s="4" t="s">
        <v>515</v>
      </c>
      <c r="M40" s="3" t="s">
        <v>292</v>
      </c>
      <c r="N40" s="3"/>
    </row>
    <row r="41" spans="2:14" ht="27.75" customHeight="1" x14ac:dyDescent="0.2">
      <c r="B41" s="3" t="s">
        <v>516</v>
      </c>
      <c r="C41" s="3"/>
      <c r="D41" s="4" t="s">
        <v>517</v>
      </c>
      <c r="E41" s="4" t="s">
        <v>518</v>
      </c>
      <c r="F41" s="4" t="s">
        <v>499</v>
      </c>
      <c r="G41" s="3" t="s">
        <v>500</v>
      </c>
      <c r="H41" s="3" t="s">
        <v>1202</v>
      </c>
      <c r="I41" s="3" t="s">
        <v>501</v>
      </c>
      <c r="J41" s="3" t="s">
        <v>519</v>
      </c>
      <c r="K41" s="3" t="s">
        <v>520</v>
      </c>
      <c r="L41" s="3" t="s">
        <v>521</v>
      </c>
      <c r="M41" s="3" t="s">
        <v>292</v>
      </c>
      <c r="N41" s="3"/>
    </row>
    <row r="42" spans="2:14" ht="27.75" customHeight="1" x14ac:dyDescent="0.2">
      <c r="B42" s="3" t="s">
        <v>522</v>
      </c>
      <c r="C42" s="3"/>
      <c r="D42" s="4" t="s">
        <v>517</v>
      </c>
      <c r="E42" s="4" t="s">
        <v>523</v>
      </c>
      <c r="F42" s="4" t="s">
        <v>524</v>
      </c>
      <c r="G42" s="3" t="s">
        <v>500</v>
      </c>
      <c r="H42" s="3" t="s">
        <v>1202</v>
      </c>
      <c r="I42" s="3" t="s">
        <v>501</v>
      </c>
      <c r="J42" s="3" t="s">
        <v>525</v>
      </c>
      <c r="K42" s="3" t="s">
        <v>526</v>
      </c>
      <c r="L42" s="4" t="s">
        <v>527</v>
      </c>
      <c r="M42" s="3" t="s">
        <v>292</v>
      </c>
      <c r="N42" s="4" t="s">
        <v>528</v>
      </c>
    </row>
    <row r="43" spans="2:14" ht="27.75" customHeight="1" x14ac:dyDescent="0.2">
      <c r="B43" s="4" t="s">
        <v>529</v>
      </c>
      <c r="C43" s="3"/>
      <c r="D43" s="3" t="s">
        <v>530</v>
      </c>
      <c r="E43" s="4" t="s">
        <v>531</v>
      </c>
      <c r="F43" s="4" t="s">
        <v>499</v>
      </c>
      <c r="G43" s="3" t="s">
        <v>500</v>
      </c>
      <c r="H43" s="3" t="s">
        <v>1202</v>
      </c>
      <c r="I43" s="3" t="s">
        <v>501</v>
      </c>
      <c r="J43" s="3" t="s">
        <v>532</v>
      </c>
      <c r="K43" s="3" t="s">
        <v>533</v>
      </c>
      <c r="L43" s="4" t="s">
        <v>534</v>
      </c>
      <c r="M43" s="3" t="s">
        <v>292</v>
      </c>
      <c r="N43" s="4" t="s">
        <v>535</v>
      </c>
    </row>
    <row r="44" spans="2:14" ht="27.75" customHeight="1" x14ac:dyDescent="0.2">
      <c r="B44" s="3" t="s">
        <v>536</v>
      </c>
      <c r="C44" s="3"/>
      <c r="D44" s="3" t="s">
        <v>461</v>
      </c>
      <c r="E44" s="4" t="s">
        <v>537</v>
      </c>
      <c r="F44" s="4" t="s">
        <v>499</v>
      </c>
      <c r="G44" s="3" t="s">
        <v>500</v>
      </c>
      <c r="H44" s="3" t="s">
        <v>1202</v>
      </c>
      <c r="I44" s="3" t="s">
        <v>501</v>
      </c>
      <c r="J44" s="3" t="s">
        <v>538</v>
      </c>
      <c r="K44" s="3" t="s">
        <v>539</v>
      </c>
      <c r="L44" s="4" t="s">
        <v>540</v>
      </c>
      <c r="M44" s="3" t="s">
        <v>52</v>
      </c>
      <c r="N44" s="3"/>
    </row>
    <row r="45" spans="2:14" ht="27.75" customHeight="1" x14ac:dyDescent="0.2">
      <c r="B45" s="3" t="s">
        <v>541</v>
      </c>
      <c r="C45" s="3"/>
      <c r="D45" s="3" t="s">
        <v>461</v>
      </c>
      <c r="E45" s="4" t="s">
        <v>542</v>
      </c>
      <c r="F45" s="4" t="s">
        <v>499</v>
      </c>
      <c r="G45" s="3" t="s">
        <v>500</v>
      </c>
      <c r="H45" s="3" t="s">
        <v>1202</v>
      </c>
      <c r="I45" s="3" t="s">
        <v>501</v>
      </c>
      <c r="J45" s="3" t="s">
        <v>543</v>
      </c>
      <c r="K45" s="3" t="s">
        <v>544</v>
      </c>
      <c r="L45" s="4" t="s">
        <v>540</v>
      </c>
      <c r="M45" s="3" t="s">
        <v>52</v>
      </c>
      <c r="N45" s="3"/>
    </row>
    <row r="46" spans="2:14" ht="27.75" customHeight="1" x14ac:dyDescent="0.2">
      <c r="B46" s="4" t="s">
        <v>545</v>
      </c>
      <c r="C46" s="3"/>
      <c r="D46" s="3" t="s">
        <v>546</v>
      </c>
      <c r="E46" s="4" t="s">
        <v>547</v>
      </c>
      <c r="F46" s="3" t="s">
        <v>130</v>
      </c>
      <c r="G46" s="3" t="s">
        <v>500</v>
      </c>
      <c r="H46" s="3" t="s">
        <v>1202</v>
      </c>
      <c r="I46" s="3" t="s">
        <v>501</v>
      </c>
      <c r="J46" s="3" t="s">
        <v>548</v>
      </c>
      <c r="K46" s="4" t="s">
        <v>549</v>
      </c>
      <c r="L46" s="4" t="s">
        <v>550</v>
      </c>
      <c r="M46" s="3" t="s">
        <v>292</v>
      </c>
      <c r="N46" s="4" t="s">
        <v>551</v>
      </c>
    </row>
    <row r="47" spans="2:14" ht="27.75" customHeight="1" x14ac:dyDescent="0.2">
      <c r="B47" s="4" t="s">
        <v>552</v>
      </c>
      <c r="C47" s="3"/>
      <c r="D47" s="3" t="s">
        <v>530</v>
      </c>
      <c r="E47" s="4" t="s">
        <v>553</v>
      </c>
      <c r="F47" s="3" t="s">
        <v>130</v>
      </c>
      <c r="G47" s="3" t="s">
        <v>500</v>
      </c>
      <c r="H47" s="3" t="s">
        <v>1202</v>
      </c>
      <c r="I47" s="3" t="s">
        <v>501</v>
      </c>
      <c r="J47" s="3" t="s">
        <v>548</v>
      </c>
      <c r="K47" s="3" t="s">
        <v>554</v>
      </c>
      <c r="L47" s="4" t="s">
        <v>555</v>
      </c>
      <c r="M47" s="3" t="s">
        <v>292</v>
      </c>
      <c r="N47" s="3"/>
    </row>
    <row r="48" spans="2:14" ht="27.75" customHeight="1" x14ac:dyDescent="0.2">
      <c r="B48" s="4" t="s">
        <v>556</v>
      </c>
      <c r="C48" s="3"/>
      <c r="D48" s="3" t="s">
        <v>557</v>
      </c>
      <c r="E48" s="4" t="s">
        <v>558</v>
      </c>
      <c r="F48" s="3" t="s">
        <v>130</v>
      </c>
      <c r="G48" s="3" t="s">
        <v>500</v>
      </c>
      <c r="H48" s="3" t="s">
        <v>1202</v>
      </c>
      <c r="I48" s="3" t="s">
        <v>501</v>
      </c>
      <c r="J48" s="3" t="s">
        <v>548</v>
      </c>
      <c r="K48" s="3" t="s">
        <v>559</v>
      </c>
      <c r="L48" s="4" t="s">
        <v>560</v>
      </c>
      <c r="M48" s="3" t="s">
        <v>52</v>
      </c>
      <c r="N48" s="4" t="s">
        <v>561</v>
      </c>
    </row>
    <row r="49" spans="2:14" ht="27.75" customHeight="1" x14ac:dyDescent="0.2">
      <c r="B49" s="3" t="s">
        <v>562</v>
      </c>
      <c r="C49" s="3"/>
      <c r="D49" s="3" t="s">
        <v>563</v>
      </c>
      <c r="E49" s="4" t="s">
        <v>564</v>
      </c>
      <c r="F49" s="3" t="s">
        <v>130</v>
      </c>
      <c r="G49" s="3" t="s">
        <v>500</v>
      </c>
      <c r="H49" s="3" t="s">
        <v>1202</v>
      </c>
      <c r="I49" s="3" t="s">
        <v>501</v>
      </c>
      <c r="J49" s="3" t="s">
        <v>548</v>
      </c>
      <c r="K49" s="3" t="s">
        <v>565</v>
      </c>
      <c r="L49" s="4" t="s">
        <v>566</v>
      </c>
      <c r="M49" s="3" t="s">
        <v>52</v>
      </c>
      <c r="N49" s="4" t="s">
        <v>567</v>
      </c>
    </row>
  </sheetData>
  <autoFilter ref="B5:N49" xr:uid="{00000000-0009-0000-0000-000006000000}"/>
  <mergeCells count="1">
    <mergeCell ref="B2:N2"/>
  </mergeCells>
  <conditionalFormatting sqref="B6:Z49">
    <cfRule type="expression" dxfId="34" priority="2">
      <formula>$M6="Confirmed from notes"</formula>
    </cfRule>
    <cfRule type="expression" dxfId="33" priority="3">
      <formula>$M6="Inferred / likely"</formula>
    </cfRule>
    <cfRule type="expression" dxfId="32" priority="4">
      <formula>$M6="Verify in cabinet"</formula>
    </cfRule>
    <cfRule type="expression" dxfId="31" priority="5">
      <formula>$M6="Measure before buying"</formula>
    </cfRule>
    <cfRule type="expression" dxfId="30" priority="6">
      <formula>$M6="Optional"</formula>
    </cfRule>
  </conditionalFormatting>
  <dataValidations count="3">
    <dataValidation type="list" allowBlank="1" sqref="G6:G49" xr:uid="{00000000-0002-0000-0600-000000000000}">
      <formula1>"IN,OUT,ANALOG OUT,ENCODER IN,POWER,LOGIC,MECHANICAL,USB,TBD"</formula1>
      <formula2>0</formula2>
    </dataValidation>
    <dataValidation type="list" allowBlank="1" sqref="H6:H49" xr:uid="{00000000-0002-0000-0600-000001000000}">
      <formula1>"6i25,7i77,7i84,7i85/7i85S,LinuxCNC USB,Existing Mazak,HR-11F-24,DIN rail / panel,TBD"</formula1>
      <formula2>0</formula2>
    </dataValidation>
    <dataValidation type="list" allowBlank="1" sqref="M6:M49" xr:uid="{00000000-0002-0000-0600-000002000000}">
      <formula1>"Confirmed from notes,Inferred / likely,Verify in cabinet,Measure before buying,Optional,TBD"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1:N36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baseColWidth="10" defaultColWidth="8.6640625" defaultRowHeight="15" customHeight="1" x14ac:dyDescent="0.2"/>
  <cols>
    <col min="1" max="1" width="3" customWidth="1"/>
    <col min="2" max="2" width="40" customWidth="1"/>
    <col min="3" max="3" width="25.5" customWidth="1"/>
    <col min="4" max="4" width="15.6640625" customWidth="1"/>
    <col min="5" max="5" width="33.6640625" customWidth="1"/>
    <col min="6" max="6" width="20.1640625" customWidth="1"/>
    <col min="7" max="9" width="11.1640625" customWidth="1"/>
    <col min="10" max="10" width="19.1640625" customWidth="1"/>
    <col min="11" max="11" width="21" customWidth="1"/>
    <col min="12" max="12" width="30" customWidth="1"/>
    <col min="13" max="13" width="21" customWidth="1"/>
    <col min="14" max="14" width="40" customWidth="1"/>
  </cols>
  <sheetData>
    <row r="1" spans="2:14" ht="27.75" customHeight="1" x14ac:dyDescent="0.2"/>
    <row r="2" spans="2:14" ht="27.75" customHeight="1" x14ac:dyDescent="0.2">
      <c r="B2" s="11" t="s">
        <v>780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spans="2:14" ht="27.75" customHeight="1" x14ac:dyDescent="0.2">
      <c r="B3" s="1" t="s">
        <v>781</v>
      </c>
    </row>
    <row r="4" spans="2:14" ht="27.75" customHeight="1" x14ac:dyDescent="0.2"/>
    <row r="5" spans="2:14" ht="27.75" customHeight="1" x14ac:dyDescent="0.2">
      <c r="B5" s="2" t="s">
        <v>312</v>
      </c>
      <c r="C5" s="2" t="s">
        <v>313</v>
      </c>
      <c r="D5" s="2" t="s">
        <v>314</v>
      </c>
      <c r="E5" s="2" t="s">
        <v>315</v>
      </c>
      <c r="F5" s="2" t="s">
        <v>316</v>
      </c>
      <c r="G5" s="2" t="s">
        <v>317</v>
      </c>
      <c r="H5" s="2" t="s">
        <v>318</v>
      </c>
      <c r="I5" s="2" t="s">
        <v>319</v>
      </c>
      <c r="J5" s="2" t="s">
        <v>320</v>
      </c>
      <c r="K5" s="2" t="s">
        <v>321</v>
      </c>
      <c r="L5" s="2" t="s">
        <v>322</v>
      </c>
      <c r="M5" s="2" t="s">
        <v>34</v>
      </c>
      <c r="N5" s="2" t="s">
        <v>35</v>
      </c>
    </row>
    <row r="6" spans="2:14" ht="27.75" customHeight="1" x14ac:dyDescent="0.2">
      <c r="B6" s="3" t="s">
        <v>568</v>
      </c>
      <c r="C6" s="3" t="s">
        <v>569</v>
      </c>
      <c r="D6" s="3" t="s">
        <v>570</v>
      </c>
      <c r="E6" s="4" t="s">
        <v>571</v>
      </c>
      <c r="F6" s="3" t="s">
        <v>381</v>
      </c>
      <c r="G6" s="3" t="s">
        <v>359</v>
      </c>
      <c r="H6" s="3" t="s">
        <v>99</v>
      </c>
      <c r="I6" s="3" t="s">
        <v>572</v>
      </c>
      <c r="J6" s="3" t="s">
        <v>361</v>
      </c>
      <c r="K6" s="3" t="s">
        <v>573</v>
      </c>
      <c r="L6" s="4" t="s">
        <v>574</v>
      </c>
      <c r="M6" s="3" t="s">
        <v>301</v>
      </c>
      <c r="N6" s="3"/>
    </row>
    <row r="7" spans="2:14" ht="27.75" customHeight="1" x14ac:dyDescent="0.2">
      <c r="B7" s="3" t="s">
        <v>575</v>
      </c>
      <c r="C7" s="3" t="s">
        <v>576</v>
      </c>
      <c r="D7" s="3" t="s">
        <v>570</v>
      </c>
      <c r="E7" s="4" t="s">
        <v>577</v>
      </c>
      <c r="F7" s="3" t="s">
        <v>381</v>
      </c>
      <c r="G7" s="3" t="s">
        <v>359</v>
      </c>
      <c r="H7" s="3" t="s">
        <v>99</v>
      </c>
      <c r="I7" s="3" t="s">
        <v>572</v>
      </c>
      <c r="J7" s="3" t="s">
        <v>369</v>
      </c>
      <c r="K7" s="3" t="s">
        <v>578</v>
      </c>
      <c r="L7" s="4" t="s">
        <v>579</v>
      </c>
      <c r="M7" s="3" t="s">
        <v>301</v>
      </c>
      <c r="N7" s="3"/>
    </row>
    <row r="8" spans="2:14" ht="27.75" customHeight="1" x14ac:dyDescent="0.2">
      <c r="B8" s="3" t="s">
        <v>580</v>
      </c>
      <c r="C8" s="3"/>
      <c r="D8" s="3" t="s">
        <v>581</v>
      </c>
      <c r="E8" s="4" t="s">
        <v>582</v>
      </c>
      <c r="F8" s="3" t="s">
        <v>381</v>
      </c>
      <c r="G8" s="3" t="s">
        <v>359</v>
      </c>
      <c r="H8" s="3" t="s">
        <v>99</v>
      </c>
      <c r="I8" s="3" t="s">
        <v>572</v>
      </c>
      <c r="J8" s="3" t="s">
        <v>376</v>
      </c>
      <c r="K8" s="3" t="s">
        <v>583</v>
      </c>
      <c r="L8" s="4" t="s">
        <v>584</v>
      </c>
      <c r="M8" s="3" t="s">
        <v>292</v>
      </c>
      <c r="N8" s="4" t="s">
        <v>585</v>
      </c>
    </row>
    <row r="9" spans="2:14" ht="27.75" customHeight="1" x14ac:dyDescent="0.2">
      <c r="B9" s="3" t="s">
        <v>586</v>
      </c>
      <c r="C9" s="3"/>
      <c r="D9" s="3" t="s">
        <v>581</v>
      </c>
      <c r="E9" s="4" t="s">
        <v>587</v>
      </c>
      <c r="F9" s="3" t="s">
        <v>381</v>
      </c>
      <c r="G9" s="3" t="s">
        <v>359</v>
      </c>
      <c r="H9" s="3" t="s">
        <v>99</v>
      </c>
      <c r="I9" s="3" t="s">
        <v>572</v>
      </c>
      <c r="J9" s="3" t="s">
        <v>382</v>
      </c>
      <c r="K9" s="3" t="s">
        <v>588</v>
      </c>
      <c r="L9" s="4" t="s">
        <v>584</v>
      </c>
      <c r="M9" s="3" t="s">
        <v>292</v>
      </c>
      <c r="N9" s="3"/>
    </row>
    <row r="10" spans="2:14" ht="27.75" customHeight="1" x14ac:dyDescent="0.2">
      <c r="B10" s="4" t="s">
        <v>589</v>
      </c>
      <c r="C10" s="3" t="s">
        <v>590</v>
      </c>
      <c r="D10" s="3" t="s">
        <v>591</v>
      </c>
      <c r="E10" s="4" t="s">
        <v>592</v>
      </c>
      <c r="F10" s="3" t="s">
        <v>381</v>
      </c>
      <c r="G10" s="3" t="s">
        <v>359</v>
      </c>
      <c r="H10" s="3" t="s">
        <v>99</v>
      </c>
      <c r="I10" s="3" t="s">
        <v>572</v>
      </c>
      <c r="J10" s="3" t="s">
        <v>389</v>
      </c>
      <c r="K10" s="3" t="s">
        <v>593</v>
      </c>
      <c r="L10" s="4" t="s">
        <v>594</v>
      </c>
      <c r="M10" s="3" t="s">
        <v>301</v>
      </c>
      <c r="N10" s="3"/>
    </row>
    <row r="11" spans="2:14" ht="27.75" customHeight="1" x14ac:dyDescent="0.2">
      <c r="B11" s="3" t="s">
        <v>595</v>
      </c>
      <c r="C11" s="3" t="s">
        <v>596</v>
      </c>
      <c r="D11" s="3" t="s">
        <v>591</v>
      </c>
      <c r="E11" s="4" t="s">
        <v>597</v>
      </c>
      <c r="F11" s="3" t="s">
        <v>381</v>
      </c>
      <c r="G11" s="3" t="s">
        <v>359</v>
      </c>
      <c r="H11" s="3" t="s">
        <v>99</v>
      </c>
      <c r="I11" s="3" t="s">
        <v>572</v>
      </c>
      <c r="J11" s="3" t="s">
        <v>394</v>
      </c>
      <c r="K11" s="3" t="s">
        <v>598</v>
      </c>
      <c r="L11" s="4" t="s">
        <v>599</v>
      </c>
      <c r="M11" s="3" t="s">
        <v>301</v>
      </c>
      <c r="N11" s="3"/>
    </row>
    <row r="12" spans="2:14" ht="27.75" customHeight="1" x14ac:dyDescent="0.2">
      <c r="B12" s="3" t="s">
        <v>600</v>
      </c>
      <c r="C12" s="3" t="s">
        <v>601</v>
      </c>
      <c r="D12" s="3" t="s">
        <v>591</v>
      </c>
      <c r="E12" s="4" t="s">
        <v>602</v>
      </c>
      <c r="F12" s="3" t="s">
        <v>381</v>
      </c>
      <c r="G12" s="3" t="s">
        <v>359</v>
      </c>
      <c r="H12" s="3" t="s">
        <v>99</v>
      </c>
      <c r="I12" s="3" t="s">
        <v>572</v>
      </c>
      <c r="J12" s="3" t="s">
        <v>399</v>
      </c>
      <c r="K12" s="3" t="s">
        <v>603</v>
      </c>
      <c r="L12" s="4" t="s">
        <v>599</v>
      </c>
      <c r="M12" s="3" t="s">
        <v>301</v>
      </c>
      <c r="N12" s="3"/>
    </row>
    <row r="13" spans="2:14" ht="27.75" customHeight="1" x14ac:dyDescent="0.2">
      <c r="B13" s="3" t="s">
        <v>604</v>
      </c>
      <c r="C13" s="3" t="s">
        <v>605</v>
      </c>
      <c r="D13" s="3" t="s">
        <v>591</v>
      </c>
      <c r="E13" s="4" t="s">
        <v>606</v>
      </c>
      <c r="F13" s="3" t="s">
        <v>381</v>
      </c>
      <c r="G13" s="3" t="s">
        <v>359</v>
      </c>
      <c r="H13" s="3" t="s">
        <v>99</v>
      </c>
      <c r="I13" s="3" t="s">
        <v>572</v>
      </c>
      <c r="J13" s="3" t="s">
        <v>404</v>
      </c>
      <c r="K13" s="3" t="s">
        <v>607</v>
      </c>
      <c r="L13" s="4" t="s">
        <v>599</v>
      </c>
      <c r="M13" s="3" t="s">
        <v>301</v>
      </c>
      <c r="N13" s="3"/>
    </row>
    <row r="14" spans="2:14" ht="27.75" customHeight="1" x14ac:dyDescent="0.2">
      <c r="B14" s="3" t="s">
        <v>608</v>
      </c>
      <c r="C14" s="3" t="s">
        <v>609</v>
      </c>
      <c r="D14" s="3" t="s">
        <v>591</v>
      </c>
      <c r="E14" s="4" t="s">
        <v>610</v>
      </c>
      <c r="F14" s="3" t="s">
        <v>381</v>
      </c>
      <c r="G14" s="3" t="s">
        <v>359</v>
      </c>
      <c r="H14" s="3" t="s">
        <v>99</v>
      </c>
      <c r="I14" s="3" t="s">
        <v>572</v>
      </c>
      <c r="J14" s="3" t="s">
        <v>409</v>
      </c>
      <c r="K14" s="3" t="s">
        <v>611</v>
      </c>
      <c r="L14" s="4" t="s">
        <v>599</v>
      </c>
      <c r="M14" s="3" t="s">
        <v>301</v>
      </c>
      <c r="N14" s="3"/>
    </row>
    <row r="15" spans="2:14" ht="27.75" customHeight="1" x14ac:dyDescent="0.2">
      <c r="B15" s="3" t="s">
        <v>612</v>
      </c>
      <c r="C15" s="3" t="s">
        <v>613</v>
      </c>
      <c r="D15" s="3" t="s">
        <v>591</v>
      </c>
      <c r="E15" s="4" t="s">
        <v>614</v>
      </c>
      <c r="F15" s="3" t="s">
        <v>381</v>
      </c>
      <c r="G15" s="3" t="s">
        <v>359</v>
      </c>
      <c r="H15" s="3" t="s">
        <v>99</v>
      </c>
      <c r="I15" s="3" t="s">
        <v>572</v>
      </c>
      <c r="J15" s="3" t="s">
        <v>415</v>
      </c>
      <c r="K15" s="3" t="s">
        <v>615</v>
      </c>
      <c r="L15" s="4" t="s">
        <v>599</v>
      </c>
      <c r="M15" s="3" t="s">
        <v>292</v>
      </c>
      <c r="N15" s="4" t="s">
        <v>616</v>
      </c>
    </row>
    <row r="16" spans="2:14" ht="27.75" customHeight="1" x14ac:dyDescent="0.2">
      <c r="B16" s="3" t="s">
        <v>617</v>
      </c>
      <c r="C16" s="3"/>
      <c r="D16" s="3" t="s">
        <v>618</v>
      </c>
      <c r="E16" s="4" t="s">
        <v>619</v>
      </c>
      <c r="F16" s="3" t="s">
        <v>381</v>
      </c>
      <c r="G16" s="3" t="s">
        <v>359</v>
      </c>
      <c r="H16" s="3" t="s">
        <v>99</v>
      </c>
      <c r="I16" s="3" t="s">
        <v>572</v>
      </c>
      <c r="J16" s="3" t="s">
        <v>421</v>
      </c>
      <c r="K16" s="3" t="s">
        <v>620</v>
      </c>
      <c r="L16" s="4" t="s">
        <v>621</v>
      </c>
      <c r="M16" s="3" t="s">
        <v>52</v>
      </c>
      <c r="N16" s="3"/>
    </row>
    <row r="17" spans="2:14" ht="27.75" customHeight="1" x14ac:dyDescent="0.2">
      <c r="B17" s="3" t="s">
        <v>622</v>
      </c>
      <c r="C17" s="3"/>
      <c r="D17" s="3" t="s">
        <v>623</v>
      </c>
      <c r="E17" s="4" t="s">
        <v>624</v>
      </c>
      <c r="F17" s="3" t="s">
        <v>381</v>
      </c>
      <c r="G17" s="3" t="s">
        <v>359</v>
      </c>
      <c r="H17" s="3" t="s">
        <v>99</v>
      </c>
      <c r="I17" s="3" t="s">
        <v>572</v>
      </c>
      <c r="J17" s="3" t="s">
        <v>426</v>
      </c>
      <c r="K17" s="3" t="s">
        <v>625</v>
      </c>
      <c r="L17" s="4" t="s">
        <v>626</v>
      </c>
      <c r="M17" s="3" t="s">
        <v>292</v>
      </c>
      <c r="N17" s="4" t="s">
        <v>627</v>
      </c>
    </row>
    <row r="18" spans="2:14" ht="27.75" customHeight="1" x14ac:dyDescent="0.2">
      <c r="B18" s="4" t="s">
        <v>628</v>
      </c>
      <c r="C18" s="3"/>
      <c r="D18" s="3" t="s">
        <v>591</v>
      </c>
      <c r="E18" s="4" t="s">
        <v>629</v>
      </c>
      <c r="F18" s="3" t="s">
        <v>130</v>
      </c>
      <c r="G18" s="3" t="s">
        <v>359</v>
      </c>
      <c r="H18" s="3" t="s">
        <v>99</v>
      </c>
      <c r="I18" s="3" t="s">
        <v>572</v>
      </c>
      <c r="J18" s="3" t="s">
        <v>478</v>
      </c>
      <c r="K18" s="4" t="s">
        <v>630</v>
      </c>
      <c r="L18" s="4" t="s">
        <v>631</v>
      </c>
      <c r="M18" s="3" t="s">
        <v>292</v>
      </c>
      <c r="N18" s="3"/>
    </row>
    <row r="19" spans="2:14" ht="27.75" customHeight="1" x14ac:dyDescent="0.2">
      <c r="B19" s="3" t="s">
        <v>632</v>
      </c>
      <c r="C19" s="3"/>
      <c r="D19" s="3" t="s">
        <v>461</v>
      </c>
      <c r="E19" s="4" t="s">
        <v>633</v>
      </c>
      <c r="F19" s="3" t="s">
        <v>463</v>
      </c>
      <c r="G19" s="3" t="s">
        <v>359</v>
      </c>
      <c r="H19" s="3" t="s">
        <v>99</v>
      </c>
      <c r="I19" s="3" t="s">
        <v>572</v>
      </c>
      <c r="J19" s="3" t="s">
        <v>478</v>
      </c>
      <c r="K19" s="3" t="s">
        <v>634</v>
      </c>
      <c r="L19" s="3" t="s">
        <v>466</v>
      </c>
      <c r="M19" s="3" t="s">
        <v>52</v>
      </c>
      <c r="N19" s="3"/>
    </row>
    <row r="20" spans="2:14" ht="27.75" customHeight="1" x14ac:dyDescent="0.2">
      <c r="B20" s="4" t="s">
        <v>635</v>
      </c>
      <c r="C20" s="3"/>
      <c r="D20" s="3" t="s">
        <v>461</v>
      </c>
      <c r="E20" s="4" t="s">
        <v>636</v>
      </c>
      <c r="F20" s="3" t="s">
        <v>130</v>
      </c>
      <c r="G20" s="3" t="s">
        <v>359</v>
      </c>
      <c r="H20" s="3" t="s">
        <v>99</v>
      </c>
      <c r="I20" s="3" t="s">
        <v>572</v>
      </c>
      <c r="J20" s="3" t="s">
        <v>478</v>
      </c>
      <c r="K20" s="4" t="s">
        <v>637</v>
      </c>
      <c r="L20" s="3" t="s">
        <v>466</v>
      </c>
      <c r="M20" s="3" t="s">
        <v>52</v>
      </c>
      <c r="N20" s="4" t="s">
        <v>638</v>
      </c>
    </row>
    <row r="21" spans="2:14" ht="27.75" customHeight="1" x14ac:dyDescent="0.2">
      <c r="B21" s="3" t="s">
        <v>639</v>
      </c>
      <c r="C21" s="3"/>
      <c r="D21" s="3" t="s">
        <v>640</v>
      </c>
      <c r="E21" s="4" t="s">
        <v>641</v>
      </c>
      <c r="F21" s="3" t="s">
        <v>463</v>
      </c>
      <c r="G21" s="3" t="s">
        <v>359</v>
      </c>
      <c r="H21" s="3" t="s">
        <v>99</v>
      </c>
      <c r="I21" s="3" t="s">
        <v>572</v>
      </c>
      <c r="J21" s="3" t="s">
        <v>478</v>
      </c>
      <c r="K21" s="3" t="s">
        <v>642</v>
      </c>
      <c r="L21" s="4" t="s">
        <v>643</v>
      </c>
      <c r="M21" s="3" t="s">
        <v>52</v>
      </c>
      <c r="N21" s="3"/>
    </row>
    <row r="22" spans="2:14" ht="27.75" customHeight="1" x14ac:dyDescent="0.2">
      <c r="B22" s="4" t="s">
        <v>644</v>
      </c>
      <c r="C22" s="3"/>
      <c r="D22" s="3" t="s">
        <v>645</v>
      </c>
      <c r="E22" s="4" t="s">
        <v>646</v>
      </c>
      <c r="F22" s="3" t="s">
        <v>130</v>
      </c>
      <c r="G22" s="3" t="s">
        <v>359</v>
      </c>
      <c r="H22" s="3" t="s">
        <v>99</v>
      </c>
      <c r="I22" s="3" t="s">
        <v>572</v>
      </c>
      <c r="J22" s="3" t="s">
        <v>478</v>
      </c>
      <c r="K22" s="4" t="s">
        <v>647</v>
      </c>
      <c r="L22" s="4" t="s">
        <v>648</v>
      </c>
      <c r="M22" s="3" t="s">
        <v>52</v>
      </c>
      <c r="N22" s="3" t="s">
        <v>649</v>
      </c>
    </row>
    <row r="23" spans="2:14" ht="27.75" customHeight="1" x14ac:dyDescent="0.2">
      <c r="B23" s="4" t="s">
        <v>650</v>
      </c>
      <c r="C23" s="3" t="s">
        <v>651</v>
      </c>
      <c r="D23" s="3" t="s">
        <v>570</v>
      </c>
      <c r="E23" s="4" t="s">
        <v>652</v>
      </c>
      <c r="F23" s="4" t="s">
        <v>499</v>
      </c>
      <c r="G23" s="3" t="s">
        <v>500</v>
      </c>
      <c r="H23" s="3" t="s">
        <v>99</v>
      </c>
      <c r="I23" s="3" t="s">
        <v>653</v>
      </c>
      <c r="J23" s="3" t="s">
        <v>502</v>
      </c>
      <c r="K23" s="4" t="s">
        <v>654</v>
      </c>
      <c r="L23" s="4" t="s">
        <v>655</v>
      </c>
      <c r="M23" s="3" t="s">
        <v>301</v>
      </c>
      <c r="N23" s="4" t="s">
        <v>656</v>
      </c>
    </row>
    <row r="24" spans="2:14" ht="27.75" customHeight="1" x14ac:dyDescent="0.2">
      <c r="B24" s="3" t="s">
        <v>657</v>
      </c>
      <c r="C24" s="3" t="s">
        <v>658</v>
      </c>
      <c r="D24" s="3" t="s">
        <v>591</v>
      </c>
      <c r="E24" s="4" t="s">
        <v>659</v>
      </c>
      <c r="F24" s="4" t="s">
        <v>499</v>
      </c>
      <c r="G24" s="3" t="s">
        <v>500</v>
      </c>
      <c r="H24" s="3" t="s">
        <v>99</v>
      </c>
      <c r="I24" s="3" t="s">
        <v>653</v>
      </c>
      <c r="J24" s="3" t="s">
        <v>508</v>
      </c>
      <c r="K24" s="3" t="s">
        <v>660</v>
      </c>
      <c r="L24" s="4" t="s">
        <v>655</v>
      </c>
      <c r="M24" s="3" t="s">
        <v>301</v>
      </c>
      <c r="N24" s="3"/>
    </row>
    <row r="25" spans="2:14" ht="27.75" customHeight="1" x14ac:dyDescent="0.2">
      <c r="B25" s="3" t="s">
        <v>661</v>
      </c>
      <c r="C25" s="3" t="s">
        <v>662</v>
      </c>
      <c r="D25" s="3" t="s">
        <v>591</v>
      </c>
      <c r="E25" s="4" t="s">
        <v>663</v>
      </c>
      <c r="F25" s="4" t="s">
        <v>499</v>
      </c>
      <c r="G25" s="3" t="s">
        <v>500</v>
      </c>
      <c r="H25" s="3" t="s">
        <v>99</v>
      </c>
      <c r="I25" s="3" t="s">
        <v>653</v>
      </c>
      <c r="J25" s="3" t="s">
        <v>513</v>
      </c>
      <c r="K25" s="3" t="s">
        <v>664</v>
      </c>
      <c r="L25" s="4" t="s">
        <v>655</v>
      </c>
      <c r="M25" s="3" t="s">
        <v>301</v>
      </c>
      <c r="N25" s="3"/>
    </row>
    <row r="26" spans="2:14" ht="27.75" customHeight="1" x14ac:dyDescent="0.2">
      <c r="B26" s="3" t="s">
        <v>665</v>
      </c>
      <c r="C26" s="3" t="s">
        <v>666</v>
      </c>
      <c r="D26" s="3" t="s">
        <v>591</v>
      </c>
      <c r="E26" s="4" t="s">
        <v>667</v>
      </c>
      <c r="F26" s="4" t="s">
        <v>499</v>
      </c>
      <c r="G26" s="3" t="s">
        <v>500</v>
      </c>
      <c r="H26" s="3" t="s">
        <v>99</v>
      </c>
      <c r="I26" s="3" t="s">
        <v>653</v>
      </c>
      <c r="J26" s="3" t="s">
        <v>519</v>
      </c>
      <c r="K26" s="3" t="s">
        <v>668</v>
      </c>
      <c r="L26" s="4" t="s">
        <v>669</v>
      </c>
      <c r="M26" s="3" t="s">
        <v>292</v>
      </c>
      <c r="N26" s="4" t="s">
        <v>670</v>
      </c>
    </row>
    <row r="27" spans="2:14" ht="27.75" customHeight="1" x14ac:dyDescent="0.2">
      <c r="B27" s="4" t="s">
        <v>671</v>
      </c>
      <c r="C27" s="3" t="s">
        <v>672</v>
      </c>
      <c r="D27" s="3" t="s">
        <v>591</v>
      </c>
      <c r="E27" s="4" t="s">
        <v>673</v>
      </c>
      <c r="F27" s="4" t="s">
        <v>499</v>
      </c>
      <c r="G27" s="3" t="s">
        <v>500</v>
      </c>
      <c r="H27" s="3" t="s">
        <v>99</v>
      </c>
      <c r="I27" s="3" t="s">
        <v>653</v>
      </c>
      <c r="J27" s="3" t="s">
        <v>525</v>
      </c>
      <c r="K27" s="4" t="s">
        <v>674</v>
      </c>
      <c r="L27" s="4" t="s">
        <v>669</v>
      </c>
      <c r="M27" s="3" t="s">
        <v>292</v>
      </c>
      <c r="N27" s="3"/>
    </row>
    <row r="28" spans="2:14" ht="27.75" customHeight="1" x14ac:dyDescent="0.2">
      <c r="B28" s="3" t="s">
        <v>675</v>
      </c>
      <c r="C28" s="3" t="s">
        <v>676</v>
      </c>
      <c r="D28" s="3" t="s">
        <v>618</v>
      </c>
      <c r="E28" s="4" t="s">
        <v>677</v>
      </c>
      <c r="F28" s="4" t="s">
        <v>499</v>
      </c>
      <c r="G28" s="3" t="s">
        <v>500</v>
      </c>
      <c r="H28" s="3" t="s">
        <v>99</v>
      </c>
      <c r="I28" s="3" t="s">
        <v>653</v>
      </c>
      <c r="J28" s="3" t="s">
        <v>532</v>
      </c>
      <c r="K28" s="3" t="s">
        <v>678</v>
      </c>
      <c r="L28" s="4" t="s">
        <v>679</v>
      </c>
      <c r="M28" s="3" t="s">
        <v>301</v>
      </c>
      <c r="N28" s="4" t="s">
        <v>680</v>
      </c>
    </row>
    <row r="29" spans="2:14" ht="27.75" customHeight="1" x14ac:dyDescent="0.2">
      <c r="B29" s="3" t="s">
        <v>681</v>
      </c>
      <c r="C29" s="3" t="s">
        <v>682</v>
      </c>
      <c r="D29" s="3" t="s">
        <v>618</v>
      </c>
      <c r="E29" s="4" t="s">
        <v>683</v>
      </c>
      <c r="F29" s="4" t="s">
        <v>499</v>
      </c>
      <c r="G29" s="3" t="s">
        <v>500</v>
      </c>
      <c r="H29" s="3" t="s">
        <v>99</v>
      </c>
      <c r="I29" s="3" t="s">
        <v>653</v>
      </c>
      <c r="J29" s="3" t="s">
        <v>538</v>
      </c>
      <c r="K29" s="3" t="s">
        <v>684</v>
      </c>
      <c r="L29" s="4" t="s">
        <v>685</v>
      </c>
      <c r="M29" s="3" t="s">
        <v>52</v>
      </c>
      <c r="N29" s="3"/>
    </row>
    <row r="30" spans="2:14" ht="27.75" customHeight="1" x14ac:dyDescent="0.2">
      <c r="B30" s="3" t="s">
        <v>686</v>
      </c>
      <c r="C30" s="3" t="s">
        <v>687</v>
      </c>
      <c r="D30" s="3" t="s">
        <v>688</v>
      </c>
      <c r="E30" s="4" t="s">
        <v>689</v>
      </c>
      <c r="F30" s="4" t="s">
        <v>499</v>
      </c>
      <c r="G30" s="3" t="s">
        <v>500</v>
      </c>
      <c r="H30" s="3" t="s">
        <v>99</v>
      </c>
      <c r="I30" s="3" t="s">
        <v>653</v>
      </c>
      <c r="J30" s="3" t="s">
        <v>543</v>
      </c>
      <c r="K30" s="3" t="s">
        <v>690</v>
      </c>
      <c r="L30" s="3" t="s">
        <v>691</v>
      </c>
      <c r="M30" s="3" t="s">
        <v>301</v>
      </c>
      <c r="N30" s="3"/>
    </row>
    <row r="31" spans="2:14" ht="27.75" customHeight="1" x14ac:dyDescent="0.2">
      <c r="B31" s="3" t="s">
        <v>692</v>
      </c>
      <c r="C31" s="3" t="s">
        <v>693</v>
      </c>
      <c r="D31" s="3" t="s">
        <v>688</v>
      </c>
      <c r="E31" s="4" t="s">
        <v>694</v>
      </c>
      <c r="F31" s="4" t="s">
        <v>499</v>
      </c>
      <c r="G31" s="3" t="s">
        <v>500</v>
      </c>
      <c r="H31" s="3" t="s">
        <v>99</v>
      </c>
      <c r="I31" s="3" t="s">
        <v>653</v>
      </c>
      <c r="J31" s="3" t="s">
        <v>695</v>
      </c>
      <c r="K31" s="3" t="s">
        <v>696</v>
      </c>
      <c r="L31" s="3" t="s">
        <v>691</v>
      </c>
      <c r="M31" s="3" t="s">
        <v>301</v>
      </c>
      <c r="N31" s="3"/>
    </row>
    <row r="32" spans="2:14" ht="27.75" customHeight="1" x14ac:dyDescent="0.2">
      <c r="B32" s="3" t="s">
        <v>697</v>
      </c>
      <c r="C32" s="3" t="s">
        <v>698</v>
      </c>
      <c r="D32" s="3" t="s">
        <v>618</v>
      </c>
      <c r="E32" s="4" t="s">
        <v>699</v>
      </c>
      <c r="F32" s="4" t="s">
        <v>499</v>
      </c>
      <c r="G32" s="3" t="s">
        <v>500</v>
      </c>
      <c r="H32" s="3" t="s">
        <v>99</v>
      </c>
      <c r="I32" s="3" t="s">
        <v>653</v>
      </c>
      <c r="J32" s="3" t="s">
        <v>700</v>
      </c>
      <c r="K32" s="3" t="s">
        <v>701</v>
      </c>
      <c r="L32" s="4" t="s">
        <v>702</v>
      </c>
      <c r="M32" s="3" t="s">
        <v>52</v>
      </c>
      <c r="N32" s="3"/>
    </row>
    <row r="33" spans="2:14" ht="27.75" customHeight="1" x14ac:dyDescent="0.2">
      <c r="B33" s="3" t="s">
        <v>703</v>
      </c>
      <c r="C33" s="3"/>
      <c r="D33" s="3" t="s">
        <v>563</v>
      </c>
      <c r="E33" s="3" t="s">
        <v>704</v>
      </c>
      <c r="F33" s="4" t="s">
        <v>499</v>
      </c>
      <c r="G33" s="3" t="s">
        <v>500</v>
      </c>
      <c r="H33" s="3" t="s">
        <v>99</v>
      </c>
      <c r="I33" s="3" t="s">
        <v>653</v>
      </c>
      <c r="J33" s="3" t="s">
        <v>705</v>
      </c>
      <c r="K33" s="3" t="s">
        <v>706</v>
      </c>
      <c r="L33" s="4" t="s">
        <v>707</v>
      </c>
      <c r="M33" s="3" t="s">
        <v>52</v>
      </c>
      <c r="N33" s="3"/>
    </row>
    <row r="34" spans="2:14" ht="27.75" customHeight="1" x14ac:dyDescent="0.2">
      <c r="B34" s="4" t="s">
        <v>708</v>
      </c>
      <c r="C34" s="3"/>
      <c r="D34" s="3" t="s">
        <v>645</v>
      </c>
      <c r="E34" s="4" t="s">
        <v>709</v>
      </c>
      <c r="F34" s="4" t="s">
        <v>499</v>
      </c>
      <c r="G34" s="3" t="s">
        <v>500</v>
      </c>
      <c r="H34" s="3" t="s">
        <v>99</v>
      </c>
      <c r="I34" s="3" t="s">
        <v>653</v>
      </c>
      <c r="J34" s="3" t="s">
        <v>548</v>
      </c>
      <c r="K34" s="4" t="s">
        <v>710</v>
      </c>
      <c r="L34" s="4" t="s">
        <v>711</v>
      </c>
      <c r="M34" s="3" t="s">
        <v>52</v>
      </c>
      <c r="N34" s="3" t="s">
        <v>649</v>
      </c>
    </row>
    <row r="35" spans="2:14" ht="27.75" customHeight="1" x14ac:dyDescent="0.2">
      <c r="B35" s="4" t="s">
        <v>712</v>
      </c>
      <c r="C35" s="3"/>
      <c r="D35" s="3" t="s">
        <v>713</v>
      </c>
      <c r="E35" s="4" t="s">
        <v>714</v>
      </c>
      <c r="F35" s="4" t="s">
        <v>499</v>
      </c>
      <c r="G35" s="3" t="s">
        <v>500</v>
      </c>
      <c r="H35" s="3" t="s">
        <v>99</v>
      </c>
      <c r="I35" s="3" t="s">
        <v>653</v>
      </c>
      <c r="J35" s="3" t="s">
        <v>548</v>
      </c>
      <c r="K35" s="3" t="s">
        <v>715</v>
      </c>
      <c r="L35" s="4" t="s">
        <v>716</v>
      </c>
      <c r="M35" s="3" t="s">
        <v>52</v>
      </c>
      <c r="N35" s="3" t="s">
        <v>649</v>
      </c>
    </row>
    <row r="36" spans="2:14" ht="27.75" customHeight="1" x14ac:dyDescent="0.2">
      <c r="B36" s="4" t="s">
        <v>717</v>
      </c>
      <c r="C36" s="3"/>
      <c r="D36" s="3" t="s">
        <v>713</v>
      </c>
      <c r="E36" s="4" t="s">
        <v>718</v>
      </c>
      <c r="F36" s="4" t="s">
        <v>499</v>
      </c>
      <c r="G36" s="3" t="s">
        <v>500</v>
      </c>
      <c r="H36" s="3" t="s">
        <v>99</v>
      </c>
      <c r="I36" s="3" t="s">
        <v>653</v>
      </c>
      <c r="J36" s="3" t="s">
        <v>548</v>
      </c>
      <c r="K36" s="3" t="s">
        <v>719</v>
      </c>
      <c r="L36" s="4" t="s">
        <v>716</v>
      </c>
      <c r="M36" s="3" t="s">
        <v>52</v>
      </c>
      <c r="N36" s="3" t="s">
        <v>649</v>
      </c>
    </row>
  </sheetData>
  <autoFilter ref="B5:N36" xr:uid="{00000000-0009-0000-0000-000007000000}"/>
  <mergeCells count="1">
    <mergeCell ref="B2:N2"/>
  </mergeCells>
  <conditionalFormatting sqref="B6:Z36">
    <cfRule type="expression" dxfId="29" priority="2">
      <formula>$M6="Confirmed from notes"</formula>
    </cfRule>
    <cfRule type="expression" dxfId="28" priority="3">
      <formula>$M6="Inferred / likely"</formula>
    </cfRule>
    <cfRule type="expression" dxfId="27" priority="4">
      <formula>$M6="Verify in cabinet"</formula>
    </cfRule>
    <cfRule type="expression" dxfId="26" priority="5">
      <formula>$M6="Measure before buying"</formula>
    </cfRule>
    <cfRule type="expression" dxfId="25" priority="6">
      <formula>$M6="Optional"</formula>
    </cfRule>
  </conditionalFormatting>
  <dataValidations count="3">
    <dataValidation type="list" allowBlank="1" sqref="G6:G36" xr:uid="{00000000-0002-0000-0700-000000000000}">
      <formula1>"IN,OUT,ANALOG OUT,ENCODER IN,POWER,LOGIC,MECHANICAL,USB,TBD"</formula1>
      <formula2>0</formula2>
    </dataValidation>
    <dataValidation type="list" allowBlank="1" sqref="H6:H36" xr:uid="{00000000-0002-0000-0700-000001000000}">
      <formula1>"6i25,7i77,7i84,7i85/7i85S,LinuxCNC USB,Existing Mazak,HR-11F-24,DIN rail / panel,TBD"</formula1>
      <formula2>0</formula2>
    </dataValidation>
    <dataValidation type="list" allowBlank="1" sqref="M6:M36" xr:uid="{00000000-0002-0000-0700-000002000000}">
      <formula1>"Confirmed from notes,Inferred / likely,Verify in cabinet,Measure before buying,Optional,TBD"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K17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baseColWidth="10" defaultColWidth="8.6640625" defaultRowHeight="15" customHeight="1" x14ac:dyDescent="0.2"/>
  <cols>
    <col min="1" max="1" width="3" customWidth="1"/>
    <col min="2" max="2" width="42" customWidth="1"/>
    <col min="3" max="3" width="14.6640625" customWidth="1"/>
    <col min="4" max="4" width="21" customWidth="1"/>
    <col min="5" max="5" width="42" customWidth="1"/>
    <col min="6" max="6" width="39" customWidth="1"/>
    <col min="7" max="7" width="13.83203125" customWidth="1"/>
    <col min="8" max="9" width="18.33203125" customWidth="1"/>
    <col min="10" max="11" width="42" customWidth="1"/>
  </cols>
  <sheetData>
    <row r="1" spans="2:11" ht="27.75" customHeight="1" x14ac:dyDescent="0.2"/>
    <row r="2" spans="2:11" ht="27.75" customHeight="1" x14ac:dyDescent="0.2">
      <c r="B2" s="11" t="s">
        <v>782</v>
      </c>
      <c r="C2" s="12"/>
      <c r="D2" s="12"/>
      <c r="E2" s="12"/>
      <c r="F2" s="12"/>
      <c r="G2" s="12"/>
      <c r="H2" s="12"/>
      <c r="I2" s="12"/>
      <c r="J2" s="12"/>
      <c r="K2" s="12"/>
    </row>
    <row r="3" spans="2:11" ht="27.75" customHeight="1" x14ac:dyDescent="0.2">
      <c r="B3" s="1" t="s">
        <v>783</v>
      </c>
    </row>
    <row r="4" spans="2:11" ht="27.75" customHeight="1" x14ac:dyDescent="0.2"/>
    <row r="5" spans="2:11" ht="27.75" customHeight="1" x14ac:dyDescent="0.2">
      <c r="B5" s="2" t="s">
        <v>784</v>
      </c>
      <c r="C5" s="2" t="s">
        <v>267</v>
      </c>
      <c r="D5" s="2" t="s">
        <v>785</v>
      </c>
      <c r="E5" s="2" t="s">
        <v>786</v>
      </c>
      <c r="F5" s="2" t="s">
        <v>787</v>
      </c>
      <c r="G5" s="2" t="s">
        <v>318</v>
      </c>
      <c r="H5" s="2" t="s">
        <v>321</v>
      </c>
      <c r="I5" s="2" t="s">
        <v>34</v>
      </c>
      <c r="J5" s="2" t="s">
        <v>788</v>
      </c>
      <c r="K5" s="2" t="s">
        <v>35</v>
      </c>
    </row>
    <row r="6" spans="2:11" ht="27.75" customHeight="1" x14ac:dyDescent="0.2">
      <c r="B6" s="3" t="s">
        <v>789</v>
      </c>
      <c r="C6" s="3" t="s">
        <v>275</v>
      </c>
      <c r="D6" s="3" t="s">
        <v>790</v>
      </c>
      <c r="E6" s="4" t="s">
        <v>791</v>
      </c>
      <c r="F6" s="4" t="s">
        <v>792</v>
      </c>
      <c r="G6" s="3" t="s">
        <v>793</v>
      </c>
      <c r="H6" s="3" t="s">
        <v>350</v>
      </c>
      <c r="I6" s="4" t="s">
        <v>292</v>
      </c>
      <c r="J6" s="4" t="s">
        <v>794</v>
      </c>
      <c r="K6" s="4" t="s">
        <v>795</v>
      </c>
    </row>
    <row r="7" spans="2:11" ht="27.75" customHeight="1" x14ac:dyDescent="0.2">
      <c r="B7" s="3" t="s">
        <v>796</v>
      </c>
      <c r="C7" s="3" t="s">
        <v>280</v>
      </c>
      <c r="D7" s="3" t="s">
        <v>790</v>
      </c>
      <c r="E7" s="4" t="s">
        <v>791</v>
      </c>
      <c r="F7" s="4" t="s">
        <v>797</v>
      </c>
      <c r="G7" s="3" t="s">
        <v>793</v>
      </c>
      <c r="H7" s="3" t="s">
        <v>351</v>
      </c>
      <c r="I7" s="4" t="s">
        <v>292</v>
      </c>
      <c r="J7" s="3" t="s">
        <v>798</v>
      </c>
      <c r="K7" s="3" t="s">
        <v>799</v>
      </c>
    </row>
    <row r="8" spans="2:11" ht="27.75" customHeight="1" x14ac:dyDescent="0.2">
      <c r="B8" s="3" t="s">
        <v>800</v>
      </c>
      <c r="C8" s="3" t="s">
        <v>283</v>
      </c>
      <c r="D8" s="3" t="s">
        <v>790</v>
      </c>
      <c r="E8" s="4" t="s">
        <v>791</v>
      </c>
      <c r="F8" s="4" t="s">
        <v>801</v>
      </c>
      <c r="G8" s="3" t="s">
        <v>793</v>
      </c>
      <c r="H8" s="3" t="s">
        <v>352</v>
      </c>
      <c r="I8" s="4" t="s">
        <v>292</v>
      </c>
      <c r="J8" s="4" t="s">
        <v>802</v>
      </c>
      <c r="K8" s="3" t="s">
        <v>803</v>
      </c>
    </row>
    <row r="9" spans="2:11" ht="27.75" customHeight="1" x14ac:dyDescent="0.2">
      <c r="B9" s="3" t="s">
        <v>804</v>
      </c>
      <c r="C9" s="3" t="s">
        <v>287</v>
      </c>
      <c r="D9" s="4" t="s">
        <v>805</v>
      </c>
      <c r="E9" s="4" t="s">
        <v>806</v>
      </c>
      <c r="F9" s="4" t="s">
        <v>807</v>
      </c>
      <c r="G9" s="3" t="s">
        <v>793</v>
      </c>
      <c r="H9" s="3" t="s">
        <v>353</v>
      </c>
      <c r="I9" s="4" t="s">
        <v>292</v>
      </c>
      <c r="J9" s="4" t="s">
        <v>808</v>
      </c>
      <c r="K9" s="4" t="s">
        <v>809</v>
      </c>
    </row>
    <row r="10" spans="2:11" ht="27.75" customHeight="1" x14ac:dyDescent="0.2">
      <c r="B10" s="3" t="s">
        <v>810</v>
      </c>
      <c r="C10" s="3" t="s">
        <v>811</v>
      </c>
      <c r="D10" s="3" t="s">
        <v>812</v>
      </c>
      <c r="E10" s="3" t="s">
        <v>130</v>
      </c>
      <c r="F10" s="4" t="s">
        <v>813</v>
      </c>
      <c r="G10" s="3" t="s">
        <v>1202</v>
      </c>
      <c r="H10" s="3" t="s">
        <v>814</v>
      </c>
      <c r="I10" s="3" t="s">
        <v>52</v>
      </c>
      <c r="J10" s="3" t="s">
        <v>130</v>
      </c>
      <c r="K10" s="4" t="s">
        <v>1259</v>
      </c>
    </row>
    <row r="11" spans="2:11" ht="27.75" customHeight="1" x14ac:dyDescent="0.2">
      <c r="B11" s="3" t="s">
        <v>815</v>
      </c>
      <c r="C11" s="3" t="s">
        <v>811</v>
      </c>
      <c r="D11" s="3" t="s">
        <v>812</v>
      </c>
      <c r="E11" s="3" t="s">
        <v>130</v>
      </c>
      <c r="F11" s="4" t="s">
        <v>816</v>
      </c>
      <c r="G11" s="3" t="s">
        <v>1202</v>
      </c>
      <c r="H11" s="3" t="s">
        <v>817</v>
      </c>
      <c r="I11" s="3" t="s">
        <v>52</v>
      </c>
      <c r="J11" s="3" t="s">
        <v>130</v>
      </c>
      <c r="K11" s="3" t="s">
        <v>1260</v>
      </c>
    </row>
    <row r="12" spans="2:11" ht="27.75" customHeight="1" x14ac:dyDescent="0.2">
      <c r="B12" s="3" t="s">
        <v>329</v>
      </c>
      <c r="C12" s="3" t="s">
        <v>275</v>
      </c>
      <c r="D12" s="3" t="s">
        <v>818</v>
      </c>
      <c r="E12" s="4" t="s">
        <v>819</v>
      </c>
      <c r="F12" s="4" t="s">
        <v>820</v>
      </c>
      <c r="G12" s="3" t="s">
        <v>1202</v>
      </c>
      <c r="H12" s="3" t="s">
        <v>330</v>
      </c>
      <c r="I12" s="4" t="s">
        <v>279</v>
      </c>
      <c r="J12" s="4" t="s">
        <v>821</v>
      </c>
      <c r="K12" s="4" t="s">
        <v>822</v>
      </c>
    </row>
    <row r="13" spans="2:11" ht="27.75" customHeight="1" x14ac:dyDescent="0.2">
      <c r="B13" s="3" t="s">
        <v>335</v>
      </c>
      <c r="C13" s="3" t="s">
        <v>280</v>
      </c>
      <c r="D13" s="3" t="s">
        <v>818</v>
      </c>
      <c r="E13" s="4" t="s">
        <v>819</v>
      </c>
      <c r="F13" s="4" t="s">
        <v>823</v>
      </c>
      <c r="G13" s="3" t="s">
        <v>1202</v>
      </c>
      <c r="H13" s="3" t="s">
        <v>336</v>
      </c>
      <c r="I13" s="4" t="s">
        <v>279</v>
      </c>
      <c r="J13" s="3" t="s">
        <v>798</v>
      </c>
      <c r="K13" s="3"/>
    </row>
    <row r="14" spans="2:11" ht="27.75" customHeight="1" x14ac:dyDescent="0.2">
      <c r="B14" s="3" t="s">
        <v>340</v>
      </c>
      <c r="C14" s="3" t="s">
        <v>283</v>
      </c>
      <c r="D14" s="3" t="s">
        <v>818</v>
      </c>
      <c r="E14" s="4" t="s">
        <v>819</v>
      </c>
      <c r="F14" s="4" t="s">
        <v>824</v>
      </c>
      <c r="G14" s="3" t="s">
        <v>1202</v>
      </c>
      <c r="H14" s="3" t="s">
        <v>341</v>
      </c>
      <c r="I14" s="4" t="s">
        <v>279</v>
      </c>
      <c r="J14" s="4" t="s">
        <v>825</v>
      </c>
      <c r="K14" s="3"/>
    </row>
    <row r="15" spans="2:11" ht="27.75" customHeight="1" x14ac:dyDescent="0.2">
      <c r="B15" s="3" t="s">
        <v>346</v>
      </c>
      <c r="C15" s="3" t="s">
        <v>287</v>
      </c>
      <c r="D15" s="3" t="s">
        <v>818</v>
      </c>
      <c r="E15" s="4" t="s">
        <v>826</v>
      </c>
      <c r="F15" s="4" t="s">
        <v>827</v>
      </c>
      <c r="G15" s="3" t="s">
        <v>1202</v>
      </c>
      <c r="H15" s="4" t="s">
        <v>347</v>
      </c>
      <c r="I15" s="4" t="s">
        <v>292</v>
      </c>
      <c r="J15" s="4" t="s">
        <v>828</v>
      </c>
      <c r="K15" s="4" t="s">
        <v>829</v>
      </c>
    </row>
    <row r="16" spans="2:11" ht="27.75" customHeight="1" x14ac:dyDescent="0.2">
      <c r="B16" s="3" t="s">
        <v>830</v>
      </c>
      <c r="C16" s="3" t="s">
        <v>811</v>
      </c>
      <c r="D16" s="3" t="s">
        <v>818</v>
      </c>
      <c r="E16" s="3" t="s">
        <v>326</v>
      </c>
      <c r="F16" s="4" t="s">
        <v>831</v>
      </c>
      <c r="G16" s="3" t="s">
        <v>1202</v>
      </c>
      <c r="H16" s="3" t="s">
        <v>832</v>
      </c>
      <c r="I16" s="3" t="s">
        <v>52</v>
      </c>
      <c r="J16" s="3" t="s">
        <v>157</v>
      </c>
      <c r="K16" s="3"/>
    </row>
    <row r="17" spans="2:11" ht="27.75" customHeight="1" x14ac:dyDescent="0.2">
      <c r="B17" s="3" t="s">
        <v>833</v>
      </c>
      <c r="C17" s="3" t="s">
        <v>811</v>
      </c>
      <c r="D17" s="3" t="s">
        <v>818</v>
      </c>
      <c r="E17" s="3" t="s">
        <v>326</v>
      </c>
      <c r="F17" s="3" t="s">
        <v>834</v>
      </c>
      <c r="G17" s="3" t="s">
        <v>1202</v>
      </c>
      <c r="H17" s="3" t="s">
        <v>835</v>
      </c>
      <c r="I17" s="3" t="s">
        <v>52</v>
      </c>
      <c r="J17" s="3" t="s">
        <v>157</v>
      </c>
      <c r="K17" s="3"/>
    </row>
  </sheetData>
  <autoFilter ref="B5:K17" xr:uid="{00000000-0009-0000-0000-000008000000}"/>
  <mergeCells count="1">
    <mergeCell ref="B2:K2"/>
  </mergeCells>
  <conditionalFormatting sqref="B6:Z17">
    <cfRule type="expression" dxfId="24" priority="2">
      <formula>$I6="Confirmed from notes"</formula>
    </cfRule>
    <cfRule type="expression" dxfId="23" priority="3">
      <formula>$I6="Inferred / likely"</formula>
    </cfRule>
    <cfRule type="expression" dxfId="22" priority="4">
      <formula>$I6="Verify in cabinet"</formula>
    </cfRule>
    <cfRule type="expression" dxfId="21" priority="5">
      <formula>$I6="Measure before buying"</formula>
    </cfRule>
    <cfRule type="expression" dxfId="20" priority="6">
      <formula>$I6="Optional"</formula>
    </cfRule>
  </conditionalFormatting>
  <dataValidations count="1">
    <dataValidation type="list" allowBlank="1" sqref="I6:I17" xr:uid="{00000000-0002-0000-0800-000000000000}">
      <formula1>"Confirmed from notes,Inferred / likely,Verify in cabinet,Measure before buying,Optional,TBD"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J19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baseColWidth="10" defaultColWidth="8.6640625" defaultRowHeight="15" customHeight="1" x14ac:dyDescent="0.2"/>
  <cols>
    <col min="1" max="1" width="3" customWidth="1"/>
    <col min="2" max="2" width="44" customWidth="1"/>
    <col min="3" max="3" width="21" customWidth="1"/>
    <col min="4" max="4" width="43.5" customWidth="1"/>
    <col min="5" max="5" width="23.6640625" customWidth="1"/>
    <col min="6" max="6" width="29.1640625" customWidth="1"/>
    <col min="7" max="7" width="39" customWidth="1"/>
    <col min="8" max="8" width="33.6640625" customWidth="1"/>
    <col min="9" max="9" width="21" customWidth="1"/>
    <col min="10" max="10" width="44" customWidth="1"/>
  </cols>
  <sheetData>
    <row r="1" spans="2:10" ht="27.75" customHeight="1" x14ac:dyDescent="0.2"/>
    <row r="2" spans="2:10" ht="27.75" customHeight="1" x14ac:dyDescent="0.2">
      <c r="B2" s="11" t="s">
        <v>836</v>
      </c>
      <c r="C2" s="12"/>
      <c r="D2" s="12"/>
      <c r="E2" s="12"/>
      <c r="F2" s="12"/>
      <c r="G2" s="12"/>
      <c r="H2" s="12"/>
      <c r="I2" s="12"/>
      <c r="J2" s="12"/>
    </row>
    <row r="3" spans="2:10" ht="27.75" customHeight="1" x14ac:dyDescent="0.2">
      <c r="B3" s="1" t="s">
        <v>837</v>
      </c>
    </row>
    <row r="4" spans="2:10" ht="27.75" customHeight="1" x14ac:dyDescent="0.2"/>
    <row r="5" spans="2:10" ht="27.75" customHeight="1" x14ac:dyDescent="0.2">
      <c r="B5" s="2" t="s">
        <v>838</v>
      </c>
      <c r="C5" s="2" t="s">
        <v>839</v>
      </c>
      <c r="D5" s="2" t="s">
        <v>315</v>
      </c>
      <c r="E5" s="2" t="s">
        <v>840</v>
      </c>
      <c r="F5" s="2" t="s">
        <v>841</v>
      </c>
      <c r="G5" s="2" t="s">
        <v>842</v>
      </c>
      <c r="H5" s="2" t="s">
        <v>843</v>
      </c>
      <c r="I5" s="2" t="s">
        <v>34</v>
      </c>
      <c r="J5" s="2" t="s">
        <v>35</v>
      </c>
    </row>
    <row r="6" spans="2:10" ht="27.75" customHeight="1" x14ac:dyDescent="0.2">
      <c r="B6" s="3" t="s">
        <v>741</v>
      </c>
      <c r="C6" s="3" t="s">
        <v>844</v>
      </c>
      <c r="D6" s="4" t="s">
        <v>845</v>
      </c>
      <c r="E6" s="3" t="s">
        <v>846</v>
      </c>
      <c r="F6" s="4" t="s">
        <v>847</v>
      </c>
      <c r="G6" s="4" t="s">
        <v>848</v>
      </c>
      <c r="H6" s="4" t="s">
        <v>849</v>
      </c>
      <c r="I6" s="4" t="s">
        <v>292</v>
      </c>
      <c r="J6" s="4" t="s">
        <v>850</v>
      </c>
    </row>
    <row r="7" spans="2:10" ht="27.75" customHeight="1" x14ac:dyDescent="0.2">
      <c r="B7" s="3" t="s">
        <v>851</v>
      </c>
      <c r="C7" s="3" t="s">
        <v>844</v>
      </c>
      <c r="D7" s="4" t="s">
        <v>852</v>
      </c>
      <c r="E7" s="3" t="s">
        <v>853</v>
      </c>
      <c r="F7" s="3" t="s">
        <v>744</v>
      </c>
      <c r="G7" s="4" t="s">
        <v>854</v>
      </c>
      <c r="H7" s="4" t="s">
        <v>855</v>
      </c>
      <c r="I7" s="4" t="s">
        <v>301</v>
      </c>
      <c r="J7" s="4" t="s">
        <v>856</v>
      </c>
    </row>
    <row r="8" spans="2:10" ht="27.75" customHeight="1" x14ac:dyDescent="0.2">
      <c r="B8" s="3" t="s">
        <v>857</v>
      </c>
      <c r="C8" s="3" t="s">
        <v>844</v>
      </c>
      <c r="D8" s="4" t="s">
        <v>858</v>
      </c>
      <c r="E8" s="3" t="s">
        <v>859</v>
      </c>
      <c r="F8" s="3" t="s">
        <v>744</v>
      </c>
      <c r="G8" s="4" t="s">
        <v>860</v>
      </c>
      <c r="H8" s="4" t="s">
        <v>861</v>
      </c>
      <c r="I8" s="4" t="s">
        <v>301</v>
      </c>
      <c r="J8" s="4" t="s">
        <v>862</v>
      </c>
    </row>
    <row r="9" spans="2:10" ht="27.75" customHeight="1" x14ac:dyDescent="0.2">
      <c r="B9" s="3" t="s">
        <v>748</v>
      </c>
      <c r="C9" s="3" t="s">
        <v>844</v>
      </c>
      <c r="D9" s="4" t="s">
        <v>863</v>
      </c>
      <c r="E9" s="3" t="s">
        <v>864</v>
      </c>
      <c r="F9" s="4" t="s">
        <v>847</v>
      </c>
      <c r="G9" s="4" t="s">
        <v>865</v>
      </c>
      <c r="H9" s="4" t="s">
        <v>849</v>
      </c>
      <c r="I9" s="4" t="s">
        <v>292</v>
      </c>
      <c r="J9" s="3"/>
    </row>
    <row r="10" spans="2:10" ht="27.75" customHeight="1" x14ac:dyDescent="0.2">
      <c r="B10" s="3" t="s">
        <v>866</v>
      </c>
      <c r="C10" s="3" t="s">
        <v>844</v>
      </c>
      <c r="D10" s="4" t="s">
        <v>867</v>
      </c>
      <c r="E10" s="4" t="s">
        <v>868</v>
      </c>
      <c r="F10" s="4" t="s">
        <v>869</v>
      </c>
      <c r="G10" s="3" t="s">
        <v>870</v>
      </c>
      <c r="H10" s="4" t="s">
        <v>871</v>
      </c>
      <c r="I10" s="4" t="s">
        <v>292</v>
      </c>
      <c r="J10" s="4" t="s">
        <v>872</v>
      </c>
    </row>
    <row r="11" spans="2:10" ht="27.75" customHeight="1" x14ac:dyDescent="0.2">
      <c r="B11" s="3" t="s">
        <v>873</v>
      </c>
      <c r="C11" s="3" t="s">
        <v>844</v>
      </c>
      <c r="D11" s="4" t="s">
        <v>874</v>
      </c>
      <c r="E11" s="4" t="s">
        <v>868</v>
      </c>
      <c r="F11" s="4" t="s">
        <v>869</v>
      </c>
      <c r="G11" s="3" t="s">
        <v>870</v>
      </c>
      <c r="H11" s="4" t="s">
        <v>871</v>
      </c>
      <c r="I11" s="4" t="s">
        <v>292</v>
      </c>
      <c r="J11" s="3"/>
    </row>
    <row r="12" spans="2:10" ht="27.75" customHeight="1" x14ac:dyDescent="0.2">
      <c r="B12" s="3" t="s">
        <v>758</v>
      </c>
      <c r="C12" s="3" t="s">
        <v>844</v>
      </c>
      <c r="D12" s="3" t="s">
        <v>875</v>
      </c>
      <c r="E12" s="4" t="s">
        <v>876</v>
      </c>
      <c r="F12" s="3" t="s">
        <v>877</v>
      </c>
      <c r="G12" s="3" t="s">
        <v>762</v>
      </c>
      <c r="H12" s="3" t="s">
        <v>878</v>
      </c>
      <c r="I12" s="4" t="s">
        <v>301</v>
      </c>
      <c r="J12" s="3"/>
    </row>
    <row r="13" spans="2:10" ht="27.75" customHeight="1" x14ac:dyDescent="0.2">
      <c r="B13" s="3" t="s">
        <v>879</v>
      </c>
      <c r="C13" s="3" t="s">
        <v>844</v>
      </c>
      <c r="D13" s="3" t="s">
        <v>880</v>
      </c>
      <c r="E13" s="3" t="s">
        <v>881</v>
      </c>
      <c r="F13" s="4" t="s">
        <v>769</v>
      </c>
      <c r="G13" s="3" t="s">
        <v>882</v>
      </c>
      <c r="H13" s="4" t="s">
        <v>883</v>
      </c>
      <c r="I13" s="4" t="s">
        <v>301</v>
      </c>
      <c r="J13" s="3"/>
    </row>
    <row r="14" spans="2:10" ht="27.75" customHeight="1" x14ac:dyDescent="0.2">
      <c r="B14" s="3" t="s">
        <v>884</v>
      </c>
      <c r="C14" s="3" t="s">
        <v>844</v>
      </c>
      <c r="D14" s="4" t="s">
        <v>885</v>
      </c>
      <c r="E14" s="4" t="s">
        <v>886</v>
      </c>
      <c r="F14" s="4" t="s">
        <v>769</v>
      </c>
      <c r="G14" s="3" t="s">
        <v>882</v>
      </c>
      <c r="H14" s="4" t="s">
        <v>887</v>
      </c>
      <c r="I14" s="4" t="s">
        <v>301</v>
      </c>
      <c r="J14" s="3"/>
    </row>
    <row r="15" spans="2:10" ht="27.75" customHeight="1" x14ac:dyDescent="0.2">
      <c r="B15" s="3" t="s">
        <v>888</v>
      </c>
      <c r="C15" s="4" t="s">
        <v>889</v>
      </c>
      <c r="D15" s="4" t="s">
        <v>890</v>
      </c>
      <c r="E15" s="3" t="s">
        <v>853</v>
      </c>
      <c r="F15" s="4" t="s">
        <v>891</v>
      </c>
      <c r="G15" s="4" t="s">
        <v>892</v>
      </c>
      <c r="H15" s="4" t="s">
        <v>893</v>
      </c>
      <c r="I15" s="4" t="s">
        <v>301</v>
      </c>
      <c r="J15" s="4" t="s">
        <v>894</v>
      </c>
    </row>
    <row r="16" spans="2:10" ht="27.75" customHeight="1" x14ac:dyDescent="0.2">
      <c r="B16" s="3" t="s">
        <v>895</v>
      </c>
      <c r="C16" s="4" t="s">
        <v>889</v>
      </c>
      <c r="D16" s="4" t="s">
        <v>896</v>
      </c>
      <c r="E16" s="3" t="s">
        <v>735</v>
      </c>
      <c r="F16" s="4" t="s">
        <v>897</v>
      </c>
      <c r="G16" s="4" t="s">
        <v>898</v>
      </c>
      <c r="H16" s="4" t="s">
        <v>899</v>
      </c>
      <c r="I16" s="4" t="s">
        <v>301</v>
      </c>
      <c r="J16" s="3"/>
    </row>
    <row r="17" spans="2:10" ht="27.75" customHeight="1" x14ac:dyDescent="0.2">
      <c r="B17" s="3" t="s">
        <v>900</v>
      </c>
      <c r="C17" s="4" t="s">
        <v>889</v>
      </c>
      <c r="D17" s="4" t="s">
        <v>901</v>
      </c>
      <c r="E17" s="3" t="s">
        <v>902</v>
      </c>
      <c r="F17" s="4" t="s">
        <v>903</v>
      </c>
      <c r="G17" s="4" t="s">
        <v>904</v>
      </c>
      <c r="H17" s="4" t="s">
        <v>905</v>
      </c>
      <c r="I17" s="4" t="s">
        <v>292</v>
      </c>
      <c r="J17" s="4" t="s">
        <v>906</v>
      </c>
    </row>
    <row r="18" spans="2:10" ht="27.75" customHeight="1" x14ac:dyDescent="0.2">
      <c r="B18" s="3" t="s">
        <v>907</v>
      </c>
      <c r="C18" s="4" t="s">
        <v>889</v>
      </c>
      <c r="D18" s="4" t="s">
        <v>908</v>
      </c>
      <c r="E18" s="3" t="s">
        <v>130</v>
      </c>
      <c r="F18" s="4" t="s">
        <v>909</v>
      </c>
      <c r="G18" s="3" t="s">
        <v>910</v>
      </c>
      <c r="H18" s="4" t="s">
        <v>905</v>
      </c>
      <c r="I18" s="4" t="s">
        <v>292</v>
      </c>
      <c r="J18" s="4" t="s">
        <v>911</v>
      </c>
    </row>
    <row r="19" spans="2:10" ht="27.75" customHeight="1" x14ac:dyDescent="0.2">
      <c r="B19" s="3" t="s">
        <v>912</v>
      </c>
      <c r="C19" s="4" t="s">
        <v>889</v>
      </c>
      <c r="D19" s="4" t="s">
        <v>908</v>
      </c>
      <c r="E19" s="3" t="s">
        <v>130</v>
      </c>
      <c r="F19" s="4" t="s">
        <v>909</v>
      </c>
      <c r="G19" s="3" t="s">
        <v>910</v>
      </c>
      <c r="H19" s="4" t="s">
        <v>905</v>
      </c>
      <c r="I19" s="4" t="s">
        <v>292</v>
      </c>
      <c r="J19" s="3"/>
    </row>
  </sheetData>
  <autoFilter ref="B5:J19" xr:uid="{00000000-0009-0000-0000-000009000000}"/>
  <mergeCells count="1">
    <mergeCell ref="B2:J2"/>
  </mergeCells>
  <conditionalFormatting sqref="B6:Z19">
    <cfRule type="expression" dxfId="19" priority="2">
      <formula>$I6="Confirmed from notes"</formula>
    </cfRule>
    <cfRule type="expression" dxfId="18" priority="3">
      <formula>$I6="Inferred / likely"</formula>
    </cfRule>
    <cfRule type="expression" dxfId="17" priority="4">
      <formula>$I6="Verify in cabinet"</formula>
    </cfRule>
    <cfRule type="expression" dxfId="16" priority="5">
      <formula>$I6="Measure before buying"</formula>
    </cfRule>
    <cfRule type="expression" dxfId="15" priority="6">
      <formula>$I6="Optional"</formula>
    </cfRule>
  </conditionalFormatting>
  <dataValidations count="1">
    <dataValidation type="list" allowBlank="1" sqref="I6:I19" xr:uid="{00000000-0002-0000-0900-000000000000}">
      <formula1>"Confirmed from notes,Inferred / likely,Verify in cabinet,Measure before buying,Optional,TBD"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B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baseColWidth="10" defaultColWidth="8.6640625" defaultRowHeight="15" customHeight="1" x14ac:dyDescent="0.2"/>
  <cols>
    <col min="1" max="1" width="3" customWidth="1"/>
    <col min="2" max="3" width="42" customWidth="1"/>
    <col min="4" max="4" width="15.6640625" customWidth="1"/>
    <col min="5" max="5" width="22.83203125" customWidth="1"/>
    <col min="6" max="7" width="42" customWidth="1"/>
    <col min="8" max="8" width="41.6640625" customWidth="1"/>
    <col min="9" max="9" width="21.83203125" customWidth="1"/>
    <col min="10" max="10" width="42" customWidth="1"/>
  </cols>
  <sheetData>
    <row r="1" spans="2:10" ht="27.75" customHeight="1" x14ac:dyDescent="0.2"/>
    <row r="2" spans="2:10" ht="27.75" customHeight="1" x14ac:dyDescent="0.2">
      <c r="B2" s="11" t="s">
        <v>913</v>
      </c>
      <c r="C2" s="12"/>
      <c r="D2" s="12"/>
      <c r="E2" s="12"/>
      <c r="F2" s="12"/>
      <c r="G2" s="12"/>
      <c r="H2" s="12"/>
      <c r="I2" s="12"/>
      <c r="J2" s="12"/>
    </row>
    <row r="3" spans="2:10" ht="27.75" customHeight="1" x14ac:dyDescent="0.2">
      <c r="B3" s="1" t="s">
        <v>914</v>
      </c>
    </row>
    <row r="4" spans="2:10" ht="27.75" customHeight="1" x14ac:dyDescent="0.2"/>
    <row r="5" spans="2:10" ht="27.75" customHeight="1" x14ac:dyDescent="0.2">
      <c r="B5" s="2" t="s">
        <v>915</v>
      </c>
      <c r="C5" s="2" t="s">
        <v>916</v>
      </c>
      <c r="D5" s="2" t="s">
        <v>917</v>
      </c>
      <c r="E5" s="2" t="s">
        <v>918</v>
      </c>
      <c r="F5" s="2" t="s">
        <v>919</v>
      </c>
      <c r="G5" s="2" t="s">
        <v>920</v>
      </c>
      <c r="H5" s="2" t="s">
        <v>921</v>
      </c>
      <c r="I5" s="2" t="s">
        <v>34</v>
      </c>
      <c r="J5" s="2" t="s">
        <v>35</v>
      </c>
    </row>
    <row r="6" spans="2:10" ht="27.75" customHeight="1" x14ac:dyDescent="0.2">
      <c r="B6" s="3" t="s">
        <v>922</v>
      </c>
      <c r="C6" s="4" t="s">
        <v>1314</v>
      </c>
      <c r="D6" s="3">
        <v>1</v>
      </c>
      <c r="E6" s="4" t="s">
        <v>923</v>
      </c>
      <c r="F6" s="4" t="s">
        <v>1315</v>
      </c>
      <c r="G6" s="4" t="s">
        <v>1316</v>
      </c>
      <c r="H6" s="4" t="s">
        <v>925</v>
      </c>
      <c r="I6" s="3" t="s">
        <v>924</v>
      </c>
      <c r="J6" s="4" t="s">
        <v>1317</v>
      </c>
    </row>
    <row r="7" spans="2:10" ht="27.75" customHeight="1" x14ac:dyDescent="0.2">
      <c r="B7" s="3" t="s">
        <v>922</v>
      </c>
      <c r="C7" s="4" t="s">
        <v>1318</v>
      </c>
      <c r="D7" s="3">
        <v>1</v>
      </c>
      <c r="E7" s="4" t="s">
        <v>923</v>
      </c>
      <c r="F7" s="4" t="s">
        <v>1319</v>
      </c>
      <c r="G7" s="4" t="s">
        <v>1320</v>
      </c>
      <c r="H7" s="4" t="s">
        <v>1321</v>
      </c>
      <c r="I7" s="3" t="s">
        <v>924</v>
      </c>
      <c r="J7" s="4" t="s">
        <v>1322</v>
      </c>
    </row>
    <row r="8" spans="2:10" ht="27.75" customHeight="1" x14ac:dyDescent="0.2">
      <c r="B8" s="3" t="s">
        <v>926</v>
      </c>
      <c r="C8" s="4" t="s">
        <v>927</v>
      </c>
      <c r="D8" s="3">
        <v>1</v>
      </c>
      <c r="E8" s="4" t="s">
        <v>923</v>
      </c>
      <c r="F8" s="4" t="s">
        <v>928</v>
      </c>
      <c r="G8" s="4" t="s">
        <v>929</v>
      </c>
      <c r="H8" s="4" t="s">
        <v>930</v>
      </c>
      <c r="I8" s="3" t="s">
        <v>924</v>
      </c>
      <c r="J8" s="4" t="s">
        <v>1339</v>
      </c>
    </row>
    <row r="9" spans="2:10" ht="27.75" customHeight="1" x14ac:dyDescent="0.2">
      <c r="B9" s="3" t="s">
        <v>1323</v>
      </c>
      <c r="C9" s="4" t="s">
        <v>1324</v>
      </c>
      <c r="D9" s="3">
        <v>1</v>
      </c>
      <c r="E9" s="3" t="s">
        <v>923</v>
      </c>
      <c r="F9" s="4" t="s">
        <v>1325</v>
      </c>
      <c r="G9" s="4" t="s">
        <v>1326</v>
      </c>
      <c r="H9" s="4" t="s">
        <v>1327</v>
      </c>
      <c r="I9" s="3" t="s">
        <v>292</v>
      </c>
      <c r="J9" s="4" t="s">
        <v>1328</v>
      </c>
    </row>
    <row r="10" spans="2:10" ht="27.75" customHeight="1" x14ac:dyDescent="0.2">
      <c r="B10" s="3" t="s">
        <v>54</v>
      </c>
      <c r="C10" s="4" t="s">
        <v>931</v>
      </c>
      <c r="D10" s="3">
        <v>1</v>
      </c>
      <c r="E10" s="3" t="s">
        <v>52</v>
      </c>
      <c r="F10" s="4" t="s">
        <v>932</v>
      </c>
      <c r="G10" s="4" t="s">
        <v>933</v>
      </c>
      <c r="H10" s="4" t="s">
        <v>934</v>
      </c>
      <c r="I10" s="3" t="s">
        <v>52</v>
      </c>
      <c r="J10" s="4" t="s">
        <v>935</v>
      </c>
    </row>
    <row r="11" spans="2:10" ht="27.75" customHeight="1" x14ac:dyDescent="0.2">
      <c r="B11" s="3" t="s">
        <v>722</v>
      </c>
      <c r="C11" s="4" t="s">
        <v>936</v>
      </c>
      <c r="D11" s="3">
        <v>1</v>
      </c>
      <c r="E11" s="4" t="s">
        <v>923</v>
      </c>
      <c r="F11" s="4" t="s">
        <v>937</v>
      </c>
      <c r="G11" s="4" t="s">
        <v>938</v>
      </c>
      <c r="H11" s="4" t="s">
        <v>939</v>
      </c>
      <c r="I11" s="3" t="s">
        <v>292</v>
      </c>
      <c r="J11" s="4" t="s">
        <v>940</v>
      </c>
    </row>
    <row r="12" spans="2:10" ht="27.75" customHeight="1" x14ac:dyDescent="0.2">
      <c r="B12" s="4" t="s">
        <v>941</v>
      </c>
      <c r="C12" s="4" t="s">
        <v>942</v>
      </c>
      <c r="D12" s="3" t="s">
        <v>943</v>
      </c>
      <c r="E12" s="4" t="s">
        <v>923</v>
      </c>
      <c r="F12" s="4" t="s">
        <v>944</v>
      </c>
      <c r="G12" s="4" t="s">
        <v>945</v>
      </c>
      <c r="H12" s="4" t="s">
        <v>946</v>
      </c>
      <c r="I12" s="3" t="s">
        <v>947</v>
      </c>
      <c r="J12" s="4" t="s">
        <v>948</v>
      </c>
    </row>
    <row r="13" spans="2:10" ht="27.75" customHeight="1" x14ac:dyDescent="0.2">
      <c r="B13" s="3" t="s">
        <v>949</v>
      </c>
      <c r="C13" s="4" t="s">
        <v>950</v>
      </c>
      <c r="D13" s="3" t="s">
        <v>951</v>
      </c>
      <c r="E13" s="4" t="s">
        <v>923</v>
      </c>
      <c r="F13" s="4" t="s">
        <v>952</v>
      </c>
      <c r="G13" s="4" t="s">
        <v>953</v>
      </c>
      <c r="H13" s="4" t="s">
        <v>954</v>
      </c>
      <c r="I13" s="3" t="s">
        <v>947</v>
      </c>
      <c r="J13" s="4" t="s">
        <v>955</v>
      </c>
    </row>
    <row r="14" spans="2:10" ht="27.75" customHeight="1" x14ac:dyDescent="0.2">
      <c r="B14" s="3" t="s">
        <v>956</v>
      </c>
      <c r="C14" s="4" t="s">
        <v>1329</v>
      </c>
      <c r="D14" s="3" t="s">
        <v>957</v>
      </c>
      <c r="E14" s="4" t="s">
        <v>923</v>
      </c>
      <c r="F14" s="4" t="s">
        <v>1330</v>
      </c>
      <c r="G14" s="4" t="s">
        <v>1331</v>
      </c>
      <c r="H14" s="4" t="s">
        <v>1332</v>
      </c>
      <c r="I14" s="3" t="s">
        <v>947</v>
      </c>
      <c r="J14" s="4" t="s">
        <v>1333</v>
      </c>
    </row>
    <row r="15" spans="2:10" ht="27.75" customHeight="1" x14ac:dyDescent="0.2">
      <c r="B15" s="3" t="s">
        <v>956</v>
      </c>
      <c r="C15" s="4" t="s">
        <v>958</v>
      </c>
      <c r="D15" s="3" t="s">
        <v>951</v>
      </c>
      <c r="E15" s="3" t="s">
        <v>959</v>
      </c>
      <c r="F15" s="4" t="s">
        <v>960</v>
      </c>
      <c r="G15" s="4" t="s">
        <v>961</v>
      </c>
      <c r="H15" s="4" t="s">
        <v>962</v>
      </c>
      <c r="I15" s="3" t="s">
        <v>301</v>
      </c>
      <c r="J15" s="4" t="s">
        <v>963</v>
      </c>
    </row>
    <row r="16" spans="2:10" ht="27.75" customHeight="1" x14ac:dyDescent="0.2">
      <c r="B16" s="4" t="s">
        <v>964</v>
      </c>
      <c r="C16" s="4" t="s">
        <v>965</v>
      </c>
      <c r="D16" s="3" t="s">
        <v>130</v>
      </c>
      <c r="E16" s="4" t="s">
        <v>923</v>
      </c>
      <c r="F16" s="4" t="s">
        <v>966</v>
      </c>
      <c r="G16" s="4" t="s">
        <v>967</v>
      </c>
      <c r="H16" s="4" t="s">
        <v>968</v>
      </c>
      <c r="I16" s="3" t="s">
        <v>947</v>
      </c>
      <c r="J16" s="4" t="s">
        <v>969</v>
      </c>
    </row>
    <row r="17" spans="2:10" ht="27.75" customHeight="1" x14ac:dyDescent="0.2">
      <c r="B17" s="3" t="s">
        <v>970</v>
      </c>
      <c r="C17" s="4" t="s">
        <v>971</v>
      </c>
      <c r="D17" s="3" t="s">
        <v>972</v>
      </c>
      <c r="E17" s="4" t="s">
        <v>923</v>
      </c>
      <c r="F17" s="4" t="s">
        <v>973</v>
      </c>
      <c r="G17" s="4" t="s">
        <v>974</v>
      </c>
      <c r="H17" s="4" t="s">
        <v>975</v>
      </c>
      <c r="I17" s="3" t="s">
        <v>947</v>
      </c>
      <c r="J17" s="4" t="s">
        <v>976</v>
      </c>
    </row>
    <row r="18" spans="2:10" ht="27.75" customHeight="1" x14ac:dyDescent="0.2">
      <c r="B18" s="3" t="s">
        <v>436</v>
      </c>
      <c r="C18" s="4" t="s">
        <v>977</v>
      </c>
      <c r="D18" s="3">
        <v>1</v>
      </c>
      <c r="E18" s="4" t="s">
        <v>923</v>
      </c>
      <c r="F18" s="4" t="s">
        <v>978</v>
      </c>
      <c r="G18" s="4" t="s">
        <v>979</v>
      </c>
      <c r="H18" s="4" t="s">
        <v>980</v>
      </c>
      <c r="I18" s="3" t="s">
        <v>292</v>
      </c>
      <c r="J18" s="4" t="s">
        <v>981</v>
      </c>
    </row>
    <row r="19" spans="2:10" ht="27.75" customHeight="1" x14ac:dyDescent="0.2">
      <c r="B19" s="3" t="s">
        <v>982</v>
      </c>
      <c r="C19" s="4" t="s">
        <v>983</v>
      </c>
      <c r="D19" s="3" t="s">
        <v>130</v>
      </c>
      <c r="E19" s="4" t="s">
        <v>947</v>
      </c>
      <c r="F19" s="4" t="s">
        <v>984</v>
      </c>
      <c r="G19" s="4" t="s">
        <v>985</v>
      </c>
      <c r="H19" s="4" t="s">
        <v>986</v>
      </c>
      <c r="I19" s="3" t="s">
        <v>947</v>
      </c>
      <c r="J19" s="4" t="s">
        <v>987</v>
      </c>
    </row>
    <row r="20" spans="2:10" ht="27.75" customHeight="1" x14ac:dyDescent="0.2">
      <c r="B20" s="3" t="s">
        <v>988</v>
      </c>
      <c r="C20" s="4" t="s">
        <v>1334</v>
      </c>
      <c r="D20" s="3" t="s">
        <v>130</v>
      </c>
      <c r="E20" s="4" t="s">
        <v>923</v>
      </c>
      <c r="F20" s="4" t="s">
        <v>1335</v>
      </c>
      <c r="G20" s="4" t="s">
        <v>1336</v>
      </c>
      <c r="H20" s="4" t="s">
        <v>1337</v>
      </c>
      <c r="I20" s="3" t="s">
        <v>947</v>
      </c>
      <c r="J20" s="4" t="s">
        <v>1338</v>
      </c>
    </row>
  </sheetData>
  <autoFilter ref="B5:J20" xr:uid="{00000000-0009-0000-0000-00000A000000}"/>
  <mergeCells count="1">
    <mergeCell ref="B2:J2"/>
  </mergeCells>
  <conditionalFormatting sqref="B6:Z20">
    <cfRule type="expression" dxfId="14" priority="2">
      <formula>$I6="Confirmed from notes"</formula>
    </cfRule>
    <cfRule type="expression" dxfId="13" priority="3">
      <formula>$I6="Inferred / likely"</formula>
    </cfRule>
    <cfRule type="expression" dxfId="12" priority="4">
      <formula>$I6="Verify in cabinet"</formula>
    </cfRule>
    <cfRule type="expression" dxfId="11" priority="5">
      <formula>$I6="Measure before buying"</formula>
    </cfRule>
    <cfRule type="expression" dxfId="10" priority="6">
      <formula>$I6="Optional"</formula>
    </cfRule>
  </conditionalFormatting>
  <dataValidations count="2">
    <dataValidation type="list" allowBlank="1" sqref="E6:E20" xr:uid="{00000000-0002-0000-0A00-000000000000}">
      <formula1>"Buy now,Buy after verification,Optional,Reuse existing,Do not buy yet"</formula1>
      <formula2>0</formula2>
    </dataValidation>
    <dataValidation type="list" allowBlank="1" sqref="I6:I20" xr:uid="{00000000-0002-0000-0A00-000001000000}">
      <formula1>"Confirmed from notes,Inferred / likely,Verify in cabinet,Measure before buying,Optional,TBD"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B1:H1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baseColWidth="10" defaultColWidth="8.6640625" defaultRowHeight="15" customHeight="1" x14ac:dyDescent="0.2"/>
  <cols>
    <col min="1" max="1" width="3" customWidth="1"/>
    <col min="2" max="4" width="48" customWidth="1"/>
    <col min="5" max="5" width="33.6640625" customWidth="1"/>
    <col min="6" max="6" width="21.83203125" customWidth="1"/>
    <col min="7" max="7" width="48" customWidth="1"/>
  </cols>
  <sheetData>
    <row r="1" spans="2:8" ht="27.75" customHeight="1" x14ac:dyDescent="0.2"/>
    <row r="2" spans="2:8" ht="27.75" customHeight="1" x14ac:dyDescent="0.2">
      <c r="B2" s="11" t="s">
        <v>989</v>
      </c>
      <c r="C2" s="12"/>
      <c r="D2" s="12"/>
      <c r="E2" s="12"/>
      <c r="F2" s="12"/>
      <c r="G2" s="12"/>
      <c r="H2" s="12"/>
    </row>
    <row r="3" spans="2:8" ht="27.75" customHeight="1" x14ac:dyDescent="0.2">
      <c r="B3" s="1" t="s">
        <v>990</v>
      </c>
    </row>
    <row r="4" spans="2:8" ht="27.75" customHeight="1" x14ac:dyDescent="0.2"/>
    <row r="5" spans="2:8" ht="27.75" customHeight="1" x14ac:dyDescent="0.2">
      <c r="B5" s="2" t="s">
        <v>991</v>
      </c>
      <c r="C5" s="2" t="s">
        <v>992</v>
      </c>
      <c r="D5" s="2" t="s">
        <v>993</v>
      </c>
      <c r="E5" s="2" t="s">
        <v>994</v>
      </c>
      <c r="F5" s="2" t="s">
        <v>34</v>
      </c>
      <c r="G5" s="2" t="s">
        <v>35</v>
      </c>
    </row>
    <row r="6" spans="2:8" ht="27.75" customHeight="1" x14ac:dyDescent="0.2">
      <c r="B6" s="4" t="s">
        <v>995</v>
      </c>
      <c r="C6" s="4" t="s">
        <v>996</v>
      </c>
      <c r="D6" s="4" t="s">
        <v>997</v>
      </c>
      <c r="E6" s="4" t="s">
        <v>998</v>
      </c>
      <c r="F6" s="4" t="s">
        <v>301</v>
      </c>
      <c r="G6" s="4" t="s">
        <v>999</v>
      </c>
    </row>
    <row r="7" spans="2:8" ht="27.75" customHeight="1" x14ac:dyDescent="0.2">
      <c r="B7" s="3" t="s">
        <v>1000</v>
      </c>
      <c r="C7" s="4" t="s">
        <v>1001</v>
      </c>
      <c r="D7" s="4" t="s">
        <v>1002</v>
      </c>
      <c r="E7" s="3" t="s">
        <v>4</v>
      </c>
      <c r="F7" s="4" t="s">
        <v>301</v>
      </c>
      <c r="G7" s="4" t="s">
        <v>1003</v>
      </c>
    </row>
    <row r="8" spans="2:8" ht="27.75" customHeight="1" x14ac:dyDescent="0.2">
      <c r="B8" s="3" t="s">
        <v>722</v>
      </c>
      <c r="C8" s="4" t="s">
        <v>1004</v>
      </c>
      <c r="D8" s="4" t="s">
        <v>1005</v>
      </c>
      <c r="E8" s="4" t="s">
        <v>1006</v>
      </c>
      <c r="F8" s="4" t="s">
        <v>301</v>
      </c>
      <c r="G8" s="4" t="s">
        <v>1007</v>
      </c>
    </row>
    <row r="9" spans="2:8" ht="27.75" customHeight="1" x14ac:dyDescent="0.2">
      <c r="B9" s="3" t="s">
        <v>1008</v>
      </c>
      <c r="C9" s="4" t="s">
        <v>1349</v>
      </c>
      <c r="D9" s="4" t="s">
        <v>1350</v>
      </c>
      <c r="E9" s="4" t="s">
        <v>1009</v>
      </c>
      <c r="F9" s="4" t="s">
        <v>947</v>
      </c>
      <c r="G9" s="4" t="s">
        <v>1010</v>
      </c>
    </row>
    <row r="10" spans="2:8" ht="27.75" customHeight="1" x14ac:dyDescent="0.2">
      <c r="B10" s="3" t="s">
        <v>1011</v>
      </c>
      <c r="C10" s="4" t="s">
        <v>1351</v>
      </c>
      <c r="D10" s="4" t="s">
        <v>1352</v>
      </c>
      <c r="E10" s="4" t="s">
        <v>1353</v>
      </c>
      <c r="F10" s="4" t="s">
        <v>279</v>
      </c>
      <c r="G10" s="4" t="s">
        <v>1358</v>
      </c>
    </row>
    <row r="11" spans="2:8" ht="27.75" customHeight="1" x14ac:dyDescent="0.2">
      <c r="B11" s="3" t="s">
        <v>1012</v>
      </c>
      <c r="C11" s="4" t="s">
        <v>1354</v>
      </c>
      <c r="D11" s="4" t="s">
        <v>1013</v>
      </c>
      <c r="E11" s="4" t="s">
        <v>1014</v>
      </c>
      <c r="F11" s="4" t="s">
        <v>292</v>
      </c>
      <c r="G11" s="4" t="s">
        <v>1359</v>
      </c>
    </row>
    <row r="12" spans="2:8" ht="27.75" customHeight="1" x14ac:dyDescent="0.2">
      <c r="B12" s="4" t="s">
        <v>1015</v>
      </c>
      <c r="C12" s="4" t="s">
        <v>1016</v>
      </c>
      <c r="D12" s="4" t="s">
        <v>1017</v>
      </c>
      <c r="E12" s="4" t="s">
        <v>5</v>
      </c>
      <c r="F12" s="4" t="s">
        <v>301</v>
      </c>
      <c r="G12" s="4" t="s">
        <v>1018</v>
      </c>
    </row>
    <row r="13" spans="2:8" ht="27.75" customHeight="1" x14ac:dyDescent="0.2">
      <c r="B13" s="3" t="s">
        <v>436</v>
      </c>
      <c r="C13" s="4" t="s">
        <v>1019</v>
      </c>
      <c r="D13" s="4" t="s">
        <v>1020</v>
      </c>
      <c r="E13" s="4" t="s">
        <v>1355</v>
      </c>
      <c r="F13" s="4" t="s">
        <v>292</v>
      </c>
      <c r="G13" s="4" t="s">
        <v>1021</v>
      </c>
    </row>
    <row r="14" spans="2:8" ht="27.75" customHeight="1" x14ac:dyDescent="0.2">
      <c r="B14" s="4" t="s">
        <v>1022</v>
      </c>
      <c r="C14" s="4" t="s">
        <v>1356</v>
      </c>
      <c r="D14" s="4" t="s">
        <v>1023</v>
      </c>
      <c r="E14" s="4" t="s">
        <v>1024</v>
      </c>
      <c r="F14" s="4" t="s">
        <v>292</v>
      </c>
      <c r="G14" s="4" t="s">
        <v>1025</v>
      </c>
    </row>
    <row r="15" spans="2:8" ht="27.75" customHeight="1" x14ac:dyDescent="0.2">
      <c r="B15" s="3" t="s">
        <v>1026</v>
      </c>
      <c r="C15" s="4" t="s">
        <v>1357</v>
      </c>
      <c r="D15" s="4" t="s">
        <v>1027</v>
      </c>
      <c r="E15" s="4" t="s">
        <v>1028</v>
      </c>
      <c r="F15" s="4" t="s">
        <v>301</v>
      </c>
      <c r="G15" s="4" t="s">
        <v>1029</v>
      </c>
    </row>
  </sheetData>
  <autoFilter ref="B5:G15" xr:uid="{00000000-0009-0000-0000-00000B000000}"/>
  <mergeCells count="1">
    <mergeCell ref="B2:H2"/>
  </mergeCells>
  <conditionalFormatting sqref="B6:G15 I6:Z15">
    <cfRule type="expression" dxfId="9" priority="2">
      <formula>$F6="Confirmed from notes"</formula>
    </cfRule>
    <cfRule type="expression" dxfId="8" priority="3">
      <formula>$F6="Inferred / likely"</formula>
    </cfRule>
    <cfRule type="expression" dxfId="7" priority="4">
      <formula>$F6="Verify in cabinet"</formula>
    </cfRule>
    <cfRule type="expression" dxfId="6" priority="5">
      <formula>$F6="Measure before buying"</formula>
    </cfRule>
    <cfRule type="expression" dxfId="5" priority="6">
      <formula>$F6="Optional"</formula>
    </cfRule>
  </conditionalFormatting>
  <dataValidations count="1">
    <dataValidation type="list" allowBlank="1" sqref="F6:F15" xr:uid="{00000000-0002-0000-0B00-000000000000}">
      <formula1>"Confirmed from notes,Inferred / likely,Verify in cabinet,Measure before buying,Optional,TBD"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B1:I21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baseColWidth="10" defaultColWidth="8.6640625" defaultRowHeight="15" customHeight="1" x14ac:dyDescent="0.2"/>
  <cols>
    <col min="1" max="1" width="3" customWidth="1"/>
    <col min="2" max="6" width="48" customWidth="1"/>
    <col min="7" max="7" width="13.83203125" customWidth="1"/>
    <col min="8" max="8" width="21.83203125" customWidth="1"/>
    <col min="9" max="9" width="48" customWidth="1"/>
  </cols>
  <sheetData>
    <row r="1" spans="2:9" ht="27.75" customHeight="1" x14ac:dyDescent="0.2"/>
    <row r="2" spans="2:9" ht="27.75" customHeight="1" x14ac:dyDescent="0.2">
      <c r="B2" s="11" t="s">
        <v>1030</v>
      </c>
      <c r="C2" s="12"/>
      <c r="D2" s="12"/>
      <c r="E2" s="12"/>
      <c r="F2" s="12"/>
      <c r="G2" s="12"/>
      <c r="H2" s="12"/>
      <c r="I2" s="12"/>
    </row>
    <row r="3" spans="2:9" ht="27.75" customHeight="1" x14ac:dyDescent="0.2">
      <c r="B3" s="1" t="s">
        <v>1031</v>
      </c>
    </row>
    <row r="4" spans="2:9" ht="27.75" customHeight="1" x14ac:dyDescent="0.2"/>
    <row r="5" spans="2:9" ht="27.75" customHeight="1" x14ac:dyDescent="0.2">
      <c r="B5" s="2" t="s">
        <v>173</v>
      </c>
      <c r="C5" s="2" t="s">
        <v>1032</v>
      </c>
      <c r="D5" s="2" t="s">
        <v>1033</v>
      </c>
      <c r="E5" s="2" t="s">
        <v>1034</v>
      </c>
      <c r="F5" s="2" t="s">
        <v>1035</v>
      </c>
      <c r="G5" s="2" t="s">
        <v>1036</v>
      </c>
      <c r="H5" s="2" t="s">
        <v>34</v>
      </c>
      <c r="I5" s="2" t="s">
        <v>35</v>
      </c>
    </row>
    <row r="6" spans="2:9" ht="27.75" customHeight="1" x14ac:dyDescent="0.2">
      <c r="B6" s="3" t="s">
        <v>177</v>
      </c>
      <c r="C6" s="4" t="s">
        <v>1037</v>
      </c>
      <c r="D6" s="4" t="s">
        <v>1360</v>
      </c>
      <c r="E6" s="4" t="s">
        <v>1038</v>
      </c>
      <c r="F6" s="4" t="s">
        <v>1361</v>
      </c>
      <c r="G6" s="3"/>
      <c r="H6" s="3" t="s">
        <v>947</v>
      </c>
      <c r="I6" s="4" t="s">
        <v>1039</v>
      </c>
    </row>
    <row r="7" spans="2:9" ht="27.75" customHeight="1" x14ac:dyDescent="0.2">
      <c r="B7" s="3" t="s">
        <v>177</v>
      </c>
      <c r="C7" s="4" t="s">
        <v>1040</v>
      </c>
      <c r="D7" s="4" t="s">
        <v>1041</v>
      </c>
      <c r="E7" s="4" t="s">
        <v>1042</v>
      </c>
      <c r="F7" s="4" t="s">
        <v>1043</v>
      </c>
      <c r="G7" s="3"/>
      <c r="H7" s="3" t="s">
        <v>947</v>
      </c>
      <c r="I7" s="4" t="s">
        <v>1044</v>
      </c>
    </row>
    <row r="8" spans="2:9" ht="27.75" customHeight="1" x14ac:dyDescent="0.2">
      <c r="B8" s="3" t="s">
        <v>177</v>
      </c>
      <c r="C8" s="4" t="s">
        <v>1045</v>
      </c>
      <c r="D8" s="4" t="s">
        <v>1046</v>
      </c>
      <c r="E8" s="4" t="s">
        <v>1047</v>
      </c>
      <c r="F8" s="4" t="s">
        <v>1048</v>
      </c>
      <c r="G8" s="3"/>
      <c r="H8" s="3" t="s">
        <v>947</v>
      </c>
      <c r="I8" s="4" t="s">
        <v>1049</v>
      </c>
    </row>
    <row r="9" spans="2:9" ht="27.75" customHeight="1" x14ac:dyDescent="0.2">
      <c r="B9" s="3" t="s">
        <v>177</v>
      </c>
      <c r="C9" s="4" t="s">
        <v>1050</v>
      </c>
      <c r="D9" s="4" t="s">
        <v>1051</v>
      </c>
      <c r="E9" s="4" t="s">
        <v>1052</v>
      </c>
      <c r="F9" s="4" t="s">
        <v>1053</v>
      </c>
      <c r="G9" s="3"/>
      <c r="H9" s="3" t="s">
        <v>947</v>
      </c>
      <c r="I9" s="4" t="s">
        <v>1054</v>
      </c>
    </row>
    <row r="10" spans="2:9" ht="27.75" customHeight="1" x14ac:dyDescent="0.2">
      <c r="B10" s="3" t="s">
        <v>177</v>
      </c>
      <c r="C10" s="4" t="s">
        <v>1055</v>
      </c>
      <c r="D10" s="4" t="s">
        <v>1056</v>
      </c>
      <c r="E10" s="4" t="s">
        <v>1057</v>
      </c>
      <c r="F10" s="4" t="s">
        <v>1058</v>
      </c>
      <c r="G10" s="3"/>
      <c r="H10" s="3" t="s">
        <v>947</v>
      </c>
      <c r="I10" s="4" t="s">
        <v>1059</v>
      </c>
    </row>
    <row r="11" spans="2:9" ht="27.75" customHeight="1" x14ac:dyDescent="0.2">
      <c r="B11" s="3" t="s">
        <v>177</v>
      </c>
      <c r="C11" s="4" t="s">
        <v>1060</v>
      </c>
      <c r="D11" s="4" t="s">
        <v>1061</v>
      </c>
      <c r="E11" s="4" t="s">
        <v>1062</v>
      </c>
      <c r="F11" s="4" t="s">
        <v>1063</v>
      </c>
      <c r="G11" s="3"/>
      <c r="H11" s="3" t="s">
        <v>947</v>
      </c>
      <c r="I11" s="4" t="s">
        <v>1064</v>
      </c>
    </row>
    <row r="12" spans="2:9" ht="27.75" customHeight="1" x14ac:dyDescent="0.2">
      <c r="B12" s="3" t="s">
        <v>224</v>
      </c>
      <c r="C12" s="4" t="s">
        <v>1065</v>
      </c>
      <c r="D12" s="4" t="s">
        <v>1066</v>
      </c>
      <c r="E12" s="4" t="s">
        <v>1067</v>
      </c>
      <c r="F12" s="4" t="s">
        <v>1068</v>
      </c>
      <c r="G12" s="3"/>
      <c r="H12" s="3" t="s">
        <v>292</v>
      </c>
      <c r="I12" s="4" t="s">
        <v>1069</v>
      </c>
    </row>
    <row r="13" spans="2:9" ht="27.75" customHeight="1" x14ac:dyDescent="0.2">
      <c r="B13" s="3" t="s">
        <v>224</v>
      </c>
      <c r="C13" s="4" t="s">
        <v>1070</v>
      </c>
      <c r="D13" s="4" t="s">
        <v>1071</v>
      </c>
      <c r="E13" s="4" t="s">
        <v>1072</v>
      </c>
      <c r="F13" s="4" t="s">
        <v>1073</v>
      </c>
      <c r="G13" s="3"/>
      <c r="H13" s="3" t="s">
        <v>292</v>
      </c>
      <c r="I13" s="3"/>
    </row>
    <row r="14" spans="2:9" ht="27.75" customHeight="1" x14ac:dyDescent="0.2">
      <c r="B14" s="3" t="s">
        <v>224</v>
      </c>
      <c r="C14" s="4" t="s">
        <v>1074</v>
      </c>
      <c r="D14" s="4" t="s">
        <v>1075</v>
      </c>
      <c r="E14" s="4" t="s">
        <v>1076</v>
      </c>
      <c r="F14" s="3" t="s">
        <v>1077</v>
      </c>
      <c r="G14" s="3"/>
      <c r="H14" s="3" t="s">
        <v>292</v>
      </c>
      <c r="I14" s="4" t="s">
        <v>1078</v>
      </c>
    </row>
    <row r="15" spans="2:9" ht="27.75" customHeight="1" x14ac:dyDescent="0.2">
      <c r="B15" s="3" t="s">
        <v>224</v>
      </c>
      <c r="C15" s="4" t="s">
        <v>1362</v>
      </c>
      <c r="D15" s="4" t="s">
        <v>1079</v>
      </c>
      <c r="E15" s="4" t="s">
        <v>1080</v>
      </c>
      <c r="F15" s="4" t="s">
        <v>1081</v>
      </c>
      <c r="G15" s="3"/>
      <c r="H15" s="3" t="s">
        <v>947</v>
      </c>
      <c r="I15" s="3"/>
    </row>
    <row r="16" spans="2:9" ht="27.75" customHeight="1" x14ac:dyDescent="0.2">
      <c r="B16" s="3" t="s">
        <v>224</v>
      </c>
      <c r="C16" s="4" t="s">
        <v>1082</v>
      </c>
      <c r="D16" s="4" t="s">
        <v>1083</v>
      </c>
      <c r="E16" s="4" t="s">
        <v>1084</v>
      </c>
      <c r="F16" s="4" t="s">
        <v>1085</v>
      </c>
      <c r="G16" s="3"/>
      <c r="H16" s="3" t="s">
        <v>292</v>
      </c>
      <c r="I16" s="4" t="s">
        <v>1086</v>
      </c>
    </row>
    <row r="17" spans="2:9" ht="27.75" customHeight="1" x14ac:dyDescent="0.2">
      <c r="B17" s="23" t="s">
        <v>251</v>
      </c>
      <c r="C17" s="24" t="s">
        <v>1087</v>
      </c>
      <c r="D17" s="24" t="s">
        <v>1088</v>
      </c>
      <c r="E17" s="24" t="s">
        <v>1089</v>
      </c>
      <c r="F17" s="24" t="s">
        <v>1090</v>
      </c>
      <c r="G17" s="23"/>
      <c r="H17" s="23" t="s">
        <v>52</v>
      </c>
      <c r="I17" s="23"/>
    </row>
    <row r="18" spans="2:9" ht="32" x14ac:dyDescent="0.2">
      <c r="B18" s="21" t="s">
        <v>177</v>
      </c>
      <c r="C18" s="22" t="s">
        <v>1091</v>
      </c>
      <c r="D18" s="22" t="s">
        <v>1092</v>
      </c>
      <c r="E18" s="22" t="s">
        <v>1093</v>
      </c>
      <c r="F18" s="22" t="s">
        <v>1094</v>
      </c>
      <c r="G18" s="25"/>
      <c r="H18" s="21" t="s">
        <v>1095</v>
      </c>
      <c r="I18" s="22" t="s">
        <v>1096</v>
      </c>
    </row>
    <row r="19" spans="2:9" ht="32" x14ac:dyDescent="0.2">
      <c r="B19" s="21" t="s">
        <v>177</v>
      </c>
      <c r="C19" s="22" t="s">
        <v>1097</v>
      </c>
      <c r="D19" s="22" t="s">
        <v>1098</v>
      </c>
      <c r="E19" s="22" t="s">
        <v>1099</v>
      </c>
      <c r="F19" s="22" t="s">
        <v>1100</v>
      </c>
      <c r="G19" s="25"/>
      <c r="H19" s="21" t="s">
        <v>1101</v>
      </c>
      <c r="I19" s="22" t="s">
        <v>1102</v>
      </c>
    </row>
    <row r="20" spans="2:9" ht="16" x14ac:dyDescent="0.2">
      <c r="B20" s="21" t="s">
        <v>224</v>
      </c>
      <c r="C20" s="22" t="s">
        <v>1103</v>
      </c>
      <c r="D20" s="22" t="s">
        <v>1104</v>
      </c>
      <c r="E20" s="22" t="s">
        <v>1105</v>
      </c>
      <c r="F20" s="22" t="s">
        <v>1106</v>
      </c>
      <c r="G20" s="25"/>
      <c r="H20" s="21" t="s">
        <v>1095</v>
      </c>
      <c r="I20" s="22"/>
    </row>
    <row r="21" spans="2:9" ht="32" x14ac:dyDescent="0.2">
      <c r="B21" s="21" t="s">
        <v>224</v>
      </c>
      <c r="C21" s="22" t="s">
        <v>1107</v>
      </c>
      <c r="D21" s="22" t="s">
        <v>1108</v>
      </c>
      <c r="E21" s="22" t="s">
        <v>1109</v>
      </c>
      <c r="F21" s="22" t="s">
        <v>1110</v>
      </c>
      <c r="G21" s="25"/>
      <c r="H21" s="21" t="s">
        <v>1111</v>
      </c>
      <c r="I21" s="22"/>
    </row>
  </sheetData>
  <autoFilter ref="B5:I17" xr:uid="{00000000-0009-0000-0000-00000C000000}"/>
  <mergeCells count="1">
    <mergeCell ref="B2:I2"/>
  </mergeCells>
  <conditionalFormatting sqref="B6:Z17">
    <cfRule type="expression" dxfId="4" priority="2">
      <formula>$H6="Confirmed from notes"</formula>
    </cfRule>
    <cfRule type="expression" dxfId="3" priority="3">
      <formula>$H6="Inferred / likely"</formula>
    </cfRule>
    <cfRule type="expression" dxfId="2" priority="4">
      <formula>$H6="Verify in cabinet"</formula>
    </cfRule>
    <cfRule type="expression" dxfId="1" priority="5">
      <formula>$H6="Measure before buying"</formula>
    </cfRule>
    <cfRule type="expression" dxfId="0" priority="6">
      <formula>$H6="Optional"</formula>
    </cfRule>
  </conditionalFormatting>
  <dataValidations count="1">
    <dataValidation type="list" allowBlank="1" sqref="H6:H17" xr:uid="{00000000-0002-0000-0C00-000000000000}">
      <formula1>"Confirmed from notes,Inferred / likely,Verify in cabinet,Measure before buying,Optional,TBD"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B1:H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baseColWidth="10" defaultColWidth="8.6640625" defaultRowHeight="15" customHeight="1" x14ac:dyDescent="0.2"/>
  <cols>
    <col min="1" max="1" width="3" customWidth="1"/>
    <col min="2" max="2" width="58" customWidth="1"/>
    <col min="3" max="3" width="21" customWidth="1"/>
    <col min="4" max="4" width="58" customWidth="1"/>
    <col min="5" max="5" width="12" customWidth="1"/>
    <col min="6" max="6" width="58" customWidth="1"/>
  </cols>
  <sheetData>
    <row r="1" spans="2:8" ht="27.75" customHeight="1" x14ac:dyDescent="0.2"/>
    <row r="2" spans="2:8" ht="27.75" customHeight="1" x14ac:dyDescent="0.2">
      <c r="B2" s="11" t="s">
        <v>1112</v>
      </c>
      <c r="C2" s="12"/>
      <c r="D2" s="12"/>
      <c r="E2" s="12"/>
      <c r="F2" s="12"/>
      <c r="G2" s="12"/>
      <c r="H2" s="12"/>
    </row>
    <row r="3" spans="2:8" ht="27.75" customHeight="1" x14ac:dyDescent="0.2">
      <c r="B3" s="1" t="s">
        <v>1113</v>
      </c>
    </row>
    <row r="4" spans="2:8" ht="27.75" customHeight="1" x14ac:dyDescent="0.2"/>
    <row r="5" spans="2:8" ht="27.75" customHeight="1" x14ac:dyDescent="0.2">
      <c r="B5" s="2" t="s">
        <v>1114</v>
      </c>
      <c r="C5" s="2" t="s">
        <v>1115</v>
      </c>
      <c r="D5" s="2" t="s">
        <v>1116</v>
      </c>
      <c r="E5" s="2" t="s">
        <v>1117</v>
      </c>
      <c r="F5" s="2" t="s">
        <v>35</v>
      </c>
    </row>
    <row r="6" spans="2:8" ht="27.75" customHeight="1" x14ac:dyDescent="0.2">
      <c r="B6" s="4" t="s">
        <v>1118</v>
      </c>
      <c r="C6" s="3" t="s">
        <v>1119</v>
      </c>
      <c r="D6" s="4" t="s">
        <v>1120</v>
      </c>
      <c r="E6" s="3" t="s">
        <v>224</v>
      </c>
      <c r="F6" s="4" t="s">
        <v>1121</v>
      </c>
    </row>
    <row r="7" spans="2:8" ht="27.75" customHeight="1" x14ac:dyDescent="0.2">
      <c r="B7" s="4" t="s">
        <v>1118</v>
      </c>
      <c r="C7" s="4" t="s">
        <v>1122</v>
      </c>
      <c r="D7" s="4" t="s">
        <v>1123</v>
      </c>
      <c r="E7" s="3" t="s">
        <v>224</v>
      </c>
      <c r="F7" s="4" t="s">
        <v>1124</v>
      </c>
    </row>
    <row r="8" spans="2:8" ht="27.75" customHeight="1" x14ac:dyDescent="0.2">
      <c r="B8" s="4" t="s">
        <v>1118</v>
      </c>
      <c r="C8" s="3" t="s">
        <v>1125</v>
      </c>
      <c r="D8" s="4" t="s">
        <v>1126</v>
      </c>
      <c r="E8" s="3" t="s">
        <v>224</v>
      </c>
      <c r="F8" s="4" t="s">
        <v>1127</v>
      </c>
    </row>
    <row r="9" spans="2:8" ht="27.75" customHeight="1" x14ac:dyDescent="0.2">
      <c r="B9" s="4" t="s">
        <v>1118</v>
      </c>
      <c r="C9" s="3" t="s">
        <v>1128</v>
      </c>
      <c r="D9" s="4" t="s">
        <v>1129</v>
      </c>
      <c r="E9" s="3" t="s">
        <v>224</v>
      </c>
      <c r="F9" s="4" t="s">
        <v>1130</v>
      </c>
    </row>
    <row r="10" spans="2:8" ht="27.75" customHeight="1" x14ac:dyDescent="0.2">
      <c r="B10" s="4" t="s">
        <v>1118</v>
      </c>
      <c r="C10" s="3" t="s">
        <v>1131</v>
      </c>
      <c r="D10" s="4" t="s">
        <v>1132</v>
      </c>
      <c r="E10" s="3" t="s">
        <v>224</v>
      </c>
      <c r="F10" s="4" t="s">
        <v>1133</v>
      </c>
    </row>
    <row r="11" spans="2:8" ht="27.75" customHeight="1" x14ac:dyDescent="0.2">
      <c r="B11" s="4" t="s">
        <v>1118</v>
      </c>
      <c r="C11" s="3" t="s">
        <v>1134</v>
      </c>
      <c r="D11" s="4" t="s">
        <v>1135</v>
      </c>
      <c r="E11" s="3" t="s">
        <v>224</v>
      </c>
      <c r="F11" s="4" t="s">
        <v>1136</v>
      </c>
    </row>
    <row r="12" spans="2:8" ht="27.75" customHeight="1" x14ac:dyDescent="0.2">
      <c r="B12" s="4" t="s">
        <v>1118</v>
      </c>
      <c r="C12" s="3" t="s">
        <v>1137</v>
      </c>
      <c r="D12" s="4" t="s">
        <v>1138</v>
      </c>
      <c r="E12" s="3" t="s">
        <v>224</v>
      </c>
      <c r="F12" s="4" t="s">
        <v>1139</v>
      </c>
    </row>
    <row r="13" spans="2:8" ht="27.75" customHeight="1" x14ac:dyDescent="0.2">
      <c r="B13" s="4" t="s">
        <v>1140</v>
      </c>
      <c r="C13" s="4" t="s">
        <v>1141</v>
      </c>
      <c r="D13" s="4" t="s">
        <v>1142</v>
      </c>
      <c r="E13" s="3" t="s">
        <v>224</v>
      </c>
      <c r="F13" s="4" t="s">
        <v>1143</v>
      </c>
    </row>
    <row r="14" spans="2:8" ht="27.75" customHeight="1" x14ac:dyDescent="0.2">
      <c r="B14" s="4" t="s">
        <v>1144</v>
      </c>
      <c r="C14" s="3" t="s">
        <v>1145</v>
      </c>
      <c r="D14" s="4" t="s">
        <v>1146</v>
      </c>
      <c r="E14" s="3" t="s">
        <v>177</v>
      </c>
      <c r="F14" s="3" t="s">
        <v>1147</v>
      </c>
    </row>
    <row r="15" spans="2:8" ht="27.75" customHeight="1" x14ac:dyDescent="0.2">
      <c r="B15" s="5" t="s">
        <v>1148</v>
      </c>
      <c r="C15" s="5" t="s">
        <v>1149</v>
      </c>
      <c r="D15" s="5" t="s">
        <v>1369</v>
      </c>
      <c r="E15" s="5" t="s">
        <v>177</v>
      </c>
      <c r="F15" s="5" t="s">
        <v>1370</v>
      </c>
    </row>
    <row r="16" spans="2:8" ht="27.75" customHeight="1" x14ac:dyDescent="0.2">
      <c r="B16" s="5" t="s">
        <v>1150</v>
      </c>
      <c r="C16" s="5" t="s">
        <v>1149</v>
      </c>
      <c r="D16" s="5" t="s">
        <v>1371</v>
      </c>
      <c r="E16" s="5" t="s">
        <v>177</v>
      </c>
      <c r="F16" s="5" t="s">
        <v>1151</v>
      </c>
    </row>
    <row r="17" spans="2:7" ht="28.25" customHeight="1" x14ac:dyDescent="0.2">
      <c r="B17" s="5" t="s">
        <v>1150</v>
      </c>
      <c r="C17" s="5" t="s">
        <v>1149</v>
      </c>
      <c r="D17" s="5" t="s">
        <v>1152</v>
      </c>
      <c r="E17" s="5" t="s">
        <v>177</v>
      </c>
      <c r="F17" s="5" t="s">
        <v>1372</v>
      </c>
    </row>
    <row r="18" spans="2:7" ht="96" x14ac:dyDescent="0.2">
      <c r="B18" s="4" t="s">
        <v>1153</v>
      </c>
      <c r="C18" s="3" t="s">
        <v>1154</v>
      </c>
      <c r="D18" s="4" t="s">
        <v>1155</v>
      </c>
      <c r="E18" s="3" t="s">
        <v>177</v>
      </c>
      <c r="F18" s="4" t="s">
        <v>1156</v>
      </c>
    </row>
    <row r="19" spans="2:7" ht="48" x14ac:dyDescent="0.2">
      <c r="B19" s="4" t="s">
        <v>1157</v>
      </c>
      <c r="C19" s="3" t="s">
        <v>1158</v>
      </c>
      <c r="D19" s="4" t="s">
        <v>1159</v>
      </c>
      <c r="E19" s="3" t="s">
        <v>177</v>
      </c>
      <c r="F19" s="4" t="s">
        <v>1160</v>
      </c>
    </row>
    <row r="20" spans="2:7" ht="32" x14ac:dyDescent="0.2">
      <c r="B20" s="24" t="s">
        <v>1161</v>
      </c>
      <c r="C20" s="23" t="s">
        <v>1162</v>
      </c>
      <c r="D20" s="24" t="s">
        <v>1163</v>
      </c>
      <c r="E20" s="23" t="s">
        <v>177</v>
      </c>
      <c r="F20" s="24" t="s">
        <v>1164</v>
      </c>
    </row>
    <row r="21" spans="2:7" x14ac:dyDescent="0.2">
      <c r="B21" s="29" t="s">
        <v>1165</v>
      </c>
      <c r="C21" s="17" t="s">
        <v>1166</v>
      </c>
      <c r="D21" s="29" t="s">
        <v>1167</v>
      </c>
      <c r="E21" s="17" t="s">
        <v>177</v>
      </c>
      <c r="F21" s="30" t="s">
        <v>1168</v>
      </c>
      <c r="G21" s="28"/>
    </row>
    <row r="22" spans="2:7" ht="80" x14ac:dyDescent="0.2">
      <c r="B22" s="26" t="s">
        <v>1169</v>
      </c>
      <c r="C22" s="27" t="s">
        <v>1170</v>
      </c>
      <c r="D22" s="26" t="s">
        <v>1171</v>
      </c>
      <c r="E22" s="27" t="s">
        <v>177</v>
      </c>
      <c r="F22" s="26" t="s">
        <v>1172</v>
      </c>
    </row>
    <row r="23" spans="2:7" ht="112" x14ac:dyDescent="0.2">
      <c r="B23" s="4" t="s">
        <v>1173</v>
      </c>
      <c r="C23" s="3" t="s">
        <v>1174</v>
      </c>
      <c r="D23" s="4" t="s">
        <v>1175</v>
      </c>
      <c r="E23" s="3" t="s">
        <v>224</v>
      </c>
      <c r="F23" s="4" t="s">
        <v>1176</v>
      </c>
    </row>
    <row r="24" spans="2:7" ht="112" x14ac:dyDescent="0.2">
      <c r="B24" s="24" t="s">
        <v>1177</v>
      </c>
      <c r="C24" s="23" t="s">
        <v>1178</v>
      </c>
      <c r="D24" s="24" t="s">
        <v>1179</v>
      </c>
      <c r="E24" s="23" t="s">
        <v>224</v>
      </c>
      <c r="F24" s="24" t="s">
        <v>1180</v>
      </c>
    </row>
    <row r="25" spans="2:7" ht="15" customHeight="1" x14ac:dyDescent="0.2">
      <c r="B25" s="39" t="s">
        <v>1148</v>
      </c>
      <c r="C25" s="41">
        <v>46233</v>
      </c>
      <c r="D25" s="39" t="s">
        <v>1373</v>
      </c>
      <c r="E25" s="40" t="s">
        <v>177</v>
      </c>
      <c r="F25" s="42" t="s">
        <v>1374</v>
      </c>
      <c r="G25" s="28"/>
    </row>
  </sheetData>
  <autoFilter ref="B5:F14" xr:uid="{00000000-0009-0000-0000-00000D000000}"/>
  <mergeCells count="1">
    <mergeCell ref="B2:H2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197A0-7C57-2845-971F-62738B2FA954}">
  <dimension ref="A1:M84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24.83203125" bestFit="1" customWidth="1"/>
    <col min="2" max="2" width="10.5" bestFit="1" customWidth="1"/>
    <col min="3" max="3" width="13.1640625" bestFit="1" customWidth="1"/>
    <col min="4" max="4" width="41.6640625" bestFit="1" customWidth="1"/>
    <col min="5" max="5" width="26.33203125" bestFit="1" customWidth="1"/>
    <col min="6" max="6" width="11" bestFit="1" customWidth="1"/>
    <col min="7" max="7" width="12" bestFit="1" customWidth="1"/>
    <col min="8" max="8" width="11.6640625" bestFit="1" customWidth="1"/>
    <col min="9" max="9" width="8.83203125" bestFit="1" customWidth="1"/>
    <col min="10" max="10" width="16" bestFit="1" customWidth="1"/>
    <col min="11" max="11" width="35.33203125" bestFit="1" customWidth="1"/>
    <col min="12" max="12" width="17.83203125" bestFit="1" customWidth="1"/>
    <col min="13" max="13" width="93.1640625" bestFit="1" customWidth="1"/>
  </cols>
  <sheetData>
    <row r="1" spans="1:13" x14ac:dyDescent="0.2">
      <c r="A1" s="32" t="s">
        <v>1383</v>
      </c>
      <c r="B1" s="32" t="s">
        <v>1384</v>
      </c>
      <c r="C1" s="32" t="s">
        <v>1377</v>
      </c>
      <c r="D1" s="32" t="s">
        <v>1378</v>
      </c>
      <c r="E1" s="32" t="s">
        <v>1385</v>
      </c>
      <c r="F1" s="32" t="s">
        <v>1379</v>
      </c>
      <c r="G1" s="32" t="s">
        <v>1386</v>
      </c>
      <c r="H1" s="32" t="s">
        <v>1387</v>
      </c>
      <c r="I1" s="32" t="s">
        <v>1388</v>
      </c>
      <c r="J1" s="32" t="s">
        <v>1380</v>
      </c>
      <c r="K1" s="32" t="s">
        <v>1389</v>
      </c>
      <c r="L1" s="32" t="s">
        <v>1381</v>
      </c>
      <c r="M1" s="32" t="s">
        <v>1382</v>
      </c>
    </row>
    <row r="2" spans="1:13" x14ac:dyDescent="0.2">
      <c r="A2" t="str">
        <f>IF(IO_Master!B6="","",IO_Master!B6)</f>
        <v>X_AXIS_CMD</v>
      </c>
      <c r="B2" t="str">
        <f>IF(IO_Master!C6="","",IO_Master!C6)</f>
        <v/>
      </c>
      <c r="C2" t="str">
        <f>IF(IO_Master!D6="","",IO_Master!D6)</f>
        <v>Motion</v>
      </c>
      <c r="D2" t="str">
        <f>IF(IO_Master!E6="","",IO_Master!E6)</f>
        <v>X servo analog command</v>
      </c>
      <c r="E2" t="str">
        <f>IF(IO_Master!F6="","",IO_Master!F6)</f>
        <v>±10 V</v>
      </c>
      <c r="F2" t="str">
        <f>IF(IO_Master!G6="","",IO_Master!G6)</f>
        <v>ANALOG OUT</v>
      </c>
      <c r="G2" t="str">
        <f>IF(IO_Master!H6="","",IO_Master!H6)</f>
        <v>7i97T</v>
      </c>
      <c r="H2" t="str">
        <f>IF(IO_Master!I6="","",IO_Master!I6)</f>
        <v>Analog TB</v>
      </c>
      <c r="I2" t="str">
        <f>IF(IO_Master!J6="","",IO_Master!J6)</f>
        <v>AO0</v>
      </c>
      <c r="J2" t="str">
        <f>IF(IO_Master!K6="","",IO_Master!K6)</f>
        <v>x-vel-cmd</v>
      </c>
      <c r="K2" t="str">
        <f>IF(IO_Master!L6="","",IO_Master!L6)</f>
        <v>X servo amp command input</v>
      </c>
      <c r="L2" t="str">
        <f>IF(IO_Master!M6="","",IO_Master!M6)</f>
        <v>Inferred / likely</v>
      </c>
      <c r="M2" t="str">
        <f>IF(IO_Master!N6="","",IO_Master!N6)</f>
        <v>Confirm velocity/torque input terminals and polarity.</v>
      </c>
    </row>
    <row r="3" spans="1:13" x14ac:dyDescent="0.2">
      <c r="A3" t="str">
        <f>IF(IO_Master!B7="","",IO_Master!B7)</f>
        <v>Y_AXIS_CMD</v>
      </c>
      <c r="B3" t="str">
        <f>IF(IO_Master!C7="","",IO_Master!C7)</f>
        <v/>
      </c>
      <c r="C3" t="str">
        <f>IF(IO_Master!D7="","",IO_Master!D7)</f>
        <v>Motion</v>
      </c>
      <c r="D3" t="str">
        <f>IF(IO_Master!E7="","",IO_Master!E7)</f>
        <v>Y servo analog command</v>
      </c>
      <c r="E3" t="str">
        <f>IF(IO_Master!F7="","",IO_Master!F7)</f>
        <v>±10 V</v>
      </c>
      <c r="F3" t="str">
        <f>IF(IO_Master!G7="","",IO_Master!G7)</f>
        <v>ANALOG OUT</v>
      </c>
      <c r="G3" t="str">
        <f>IF(IO_Master!H7="","",IO_Master!H7)</f>
        <v>7i97T</v>
      </c>
      <c r="H3" t="str">
        <f>IF(IO_Master!I7="","",IO_Master!I7)</f>
        <v>Analog TB</v>
      </c>
      <c r="I3" t="str">
        <f>IF(IO_Master!J7="","",IO_Master!J7)</f>
        <v>AO1</v>
      </c>
      <c r="J3" t="str">
        <f>IF(IO_Master!K7="","",IO_Master!K7)</f>
        <v>y-vel-cmd</v>
      </c>
      <c r="K3" t="str">
        <f>IF(IO_Master!L7="","",IO_Master!L7)</f>
        <v>Y servo amp command input</v>
      </c>
      <c r="L3" t="str">
        <f>IF(IO_Master!M7="","",IO_Master!M7)</f>
        <v>Inferred / likely</v>
      </c>
      <c r="M3" t="str">
        <f>IF(IO_Master!N7="","",IO_Master!N7)</f>
        <v/>
      </c>
    </row>
    <row r="4" spans="1:13" x14ac:dyDescent="0.2">
      <c r="A4" t="str">
        <f>IF(IO_Master!B8="","",IO_Master!B8)</f>
        <v>Z_AXIS_CMD</v>
      </c>
      <c r="B4" t="str">
        <f>IF(IO_Master!C8="","",IO_Master!C8)</f>
        <v/>
      </c>
      <c r="C4" t="str">
        <f>IF(IO_Master!D8="","",IO_Master!D8)</f>
        <v>Motion</v>
      </c>
      <c r="D4" t="str">
        <f>IF(IO_Master!E8="","",IO_Master!E8)</f>
        <v>Z servo analog command</v>
      </c>
      <c r="E4" t="str">
        <f>IF(IO_Master!F8="","",IO_Master!F8)</f>
        <v>±10 V</v>
      </c>
      <c r="F4" t="str">
        <f>IF(IO_Master!G8="","",IO_Master!G8)</f>
        <v>ANALOG OUT</v>
      </c>
      <c r="G4" t="str">
        <f>IF(IO_Master!H8="","",IO_Master!H8)</f>
        <v>7i97T</v>
      </c>
      <c r="H4" t="str">
        <f>IF(IO_Master!I8="","",IO_Master!I8)</f>
        <v>Analog TB</v>
      </c>
      <c r="I4" t="str">
        <f>IF(IO_Master!J8="","",IO_Master!J8)</f>
        <v>AO2</v>
      </c>
      <c r="J4" t="str">
        <f>IF(IO_Master!K8="","",IO_Master!K8)</f>
        <v>z-vel-cmd</v>
      </c>
      <c r="K4" t="str">
        <f>IF(IO_Master!L8="","",IO_Master!L8)</f>
        <v>Z servo amp command input</v>
      </c>
      <c r="L4" t="str">
        <f>IF(IO_Master!M8="","",IO_Master!M8)</f>
        <v>Inferred / likely</v>
      </c>
      <c r="M4" t="str">
        <f>IF(IO_Master!N8="","",IO_Master!N8)</f>
        <v/>
      </c>
    </row>
    <row r="5" spans="1:13" x14ac:dyDescent="0.2">
      <c r="A5" t="str">
        <f>IF(IO_Master!B9="","",IO_Master!B9)</f>
        <v>SPINDLE_SPEED_CMD</v>
      </c>
      <c r="B5" t="str">
        <f>IF(IO_Master!C9="","",IO_Master!C9)</f>
        <v/>
      </c>
      <c r="C5" t="str">
        <f>IF(IO_Master!D9="","",IO_Master!D9)</f>
        <v>Spindle</v>
      </c>
      <c r="D5" t="str">
        <f>IF(IO_Master!E9="","",IO_Master!E9)</f>
        <v>FR-SX speed reference</v>
      </c>
      <c r="E5" t="str">
        <f>IF(IO_Master!F9="","",IO_Master!F9)</f>
        <v>0-10 V or ±10 V</v>
      </c>
      <c r="F5" t="str">
        <f>IF(IO_Master!G9="","",IO_Master!G9)</f>
        <v>ANALOG OUT</v>
      </c>
      <c r="G5" t="str">
        <f>IF(IO_Master!H9="","",IO_Master!H9)</f>
        <v>7i97T</v>
      </c>
      <c r="H5" t="str">
        <f>IF(IO_Master!I9="","",IO_Master!I9)</f>
        <v>Analog TB</v>
      </c>
      <c r="I5" t="str">
        <f>IF(IO_Master!J9="","",IO_Master!J9)</f>
        <v>AO3</v>
      </c>
      <c r="J5" t="str">
        <f>IF(IO_Master!K9="","",IO_Master!K9)</f>
        <v>spindle-speed-cmd</v>
      </c>
      <c r="K5" t="str">
        <f>IF(IO_Master!L9="","",IO_Master!L9)</f>
        <v>FR-SX analog speed input</v>
      </c>
      <c r="L5" t="str">
        <f>IF(IO_Master!M9="","",IO_Master!M9)</f>
        <v>Verify in cabinet</v>
      </c>
      <c r="M5" t="str">
        <f>IF(IO_Master!N9="","",IO_Master!N9)</f>
        <v>Check FR-SX scaling and isolated/common reference.</v>
      </c>
    </row>
    <row r="6" spans="1:13" x14ac:dyDescent="0.2">
      <c r="A6" t="str">
        <f>IF(IO_Master!B10="","",IO_Master!B10)</f>
        <v>X_RESOLVER</v>
      </c>
      <c r="B6" t="str">
        <f>IF(IO_Master!C10="","",IO_Master!C10)</f>
        <v/>
      </c>
      <c r="C6" t="str">
        <f>IF(IO_Master!D10="","",IO_Master!D10)</f>
        <v>Motion</v>
      </c>
      <c r="D6" t="str">
        <f>IF(IO_Master!E10="","",IO_Master!E10)</f>
        <v>X resolver position feedback</v>
      </c>
      <c r="E6" t="str">
        <f>IF(IO_Master!F10="","",IO_Master!F10)</f>
        <v>Resolver sin/cos + excitation</v>
      </c>
      <c r="F6" t="str">
        <f>IF(IO_Master!G10="","",IO_Master!G10)</f>
        <v>RESOLVER IN</v>
      </c>
      <c r="G6" t="str">
        <f>IF(IO_Master!H10="","",IO_Master!H10)</f>
        <v>7i49</v>
      </c>
      <c r="H6" t="str">
        <f>IF(IO_Master!I10="","",IO_Master!I10)</f>
        <v>Resolver TB</v>
      </c>
      <c r="I6" t="str">
        <f>IF(IO_Master!J10="","",IO_Master!J10)</f>
        <v>RES0</v>
      </c>
      <c r="J6" t="str">
        <f>IF(IO_Master!K10="","",IO_Master!K10)</f>
        <v>x-pos-fb</v>
      </c>
      <c r="K6" t="str">
        <f>IF(IO_Master!L10="","",IO_Master!L10)</f>
        <v>X axis Tamagawa resolver</v>
      </c>
      <c r="L6" t="str">
        <f>IF(IO_Master!M10="","",IO_Master!M10)</f>
        <v>Verify in cabinet</v>
      </c>
      <c r="M6" t="str">
        <f>IF(IO_Master!N10="","",IO_Master!N10)</f>
        <v>Ohm winding pairs before power; RO1/RO2 to RESDRV+/-, stator pairs to RESSIN/RESCOS; scope ~1V RMS return at 5 kHz.</v>
      </c>
    </row>
    <row r="7" spans="1:13" x14ac:dyDescent="0.2">
      <c r="A7" t="str">
        <f>IF(IO_Master!B11="","",IO_Master!B11)</f>
        <v>Y_RESOLVER</v>
      </c>
      <c r="B7" t="str">
        <f>IF(IO_Master!C11="","",IO_Master!C11)</f>
        <v/>
      </c>
      <c r="C7" t="str">
        <f>IF(IO_Master!D11="","",IO_Master!D11)</f>
        <v>Motion</v>
      </c>
      <c r="D7" t="str">
        <f>IF(IO_Master!E11="","",IO_Master!E11)</f>
        <v>Y resolver position feedback</v>
      </c>
      <c r="E7" t="str">
        <f>IF(IO_Master!F11="","",IO_Master!F11)</f>
        <v>Resolver sin/cos + excitation</v>
      </c>
      <c r="F7" t="str">
        <f>IF(IO_Master!G11="","",IO_Master!G11)</f>
        <v>RESOLVER IN</v>
      </c>
      <c r="G7" t="str">
        <f>IF(IO_Master!H11="","",IO_Master!H11)</f>
        <v>7i49</v>
      </c>
      <c r="H7" t="str">
        <f>IF(IO_Master!I11="","",IO_Master!I11)</f>
        <v>Resolver TB</v>
      </c>
      <c r="I7" t="str">
        <f>IF(IO_Master!J11="","",IO_Master!J11)</f>
        <v>RES1</v>
      </c>
      <c r="J7" t="str">
        <f>IF(IO_Master!K11="","",IO_Master!K11)</f>
        <v>y-pos-fb</v>
      </c>
      <c r="K7" t="str">
        <f>IF(IO_Master!L11="","",IO_Master!L11)</f>
        <v>Y axis Tamagawa resolver</v>
      </c>
      <c r="L7" t="str">
        <f>IF(IO_Master!M11="","",IO_Master!M11)</f>
        <v>Verify in cabinet</v>
      </c>
      <c r="M7" t="str">
        <f>IF(IO_Master!N11="","",IO_Master!N11)</f>
        <v>Same as X; confirm winding pairs and phasing before power.</v>
      </c>
    </row>
    <row r="8" spans="1:13" x14ac:dyDescent="0.2">
      <c r="A8" t="str">
        <f>IF(IO_Master!B12="","",IO_Master!B12)</f>
        <v>Z_RESOLVER</v>
      </c>
      <c r="B8" t="str">
        <f>IF(IO_Master!C12="","",IO_Master!C12)</f>
        <v/>
      </c>
      <c r="C8" t="str">
        <f>IF(IO_Master!D12="","",IO_Master!D12)</f>
        <v>Motion</v>
      </c>
      <c r="D8" t="str">
        <f>IF(IO_Master!E12="","",IO_Master!E12)</f>
        <v>Z resolver position feedback</v>
      </c>
      <c r="E8" t="str">
        <f>IF(IO_Master!F12="","",IO_Master!F12)</f>
        <v>Resolver sin/cos + excitation</v>
      </c>
      <c r="F8" t="str">
        <f>IF(IO_Master!G12="","",IO_Master!G12)</f>
        <v>RESOLVER IN</v>
      </c>
      <c r="G8" t="str">
        <f>IF(IO_Master!H12="","",IO_Master!H12)</f>
        <v>7i49</v>
      </c>
      <c r="H8" t="str">
        <f>IF(IO_Master!I12="","",IO_Master!I12)</f>
        <v>Resolver TB</v>
      </c>
      <c r="I8" t="str">
        <f>IF(IO_Master!J12="","",IO_Master!J12)</f>
        <v>RES2</v>
      </c>
      <c r="J8" t="str">
        <f>IF(IO_Master!K12="","",IO_Master!K12)</f>
        <v>z-pos-fb</v>
      </c>
      <c r="K8" t="str">
        <f>IF(IO_Master!L12="","",IO_Master!L12)</f>
        <v>Z axis Tamagawa resolver</v>
      </c>
      <c r="L8" t="str">
        <f>IF(IO_Master!M12="","",IO_Master!M12)</f>
        <v>Verify in cabinet</v>
      </c>
      <c r="M8" t="str">
        <f>IF(IO_Master!N12="","",IO_Master!N12)</f>
        <v>Same as X; also confirm Z brake / counterbalance dependencies.</v>
      </c>
    </row>
    <row r="9" spans="1:13" x14ac:dyDescent="0.2">
      <c r="A9" t="str">
        <f>IF(IO_Master!B13="","",IO_Master!B13)</f>
        <v>SPINDLE_RESOLVER</v>
      </c>
      <c r="B9" t="str">
        <f>IF(IO_Master!C13="","",IO_Master!C13)</f>
        <v/>
      </c>
      <c r="C9" t="str">
        <f>IF(IO_Master!D13="","",IO_Master!D13)</f>
        <v>Spindle</v>
      </c>
      <c r="D9" t="str">
        <f>IF(IO_Master!E13="","",IO_Master!E13)</f>
        <v>Spindle resolver / pickup feedback</v>
      </c>
      <c r="E9" t="str">
        <f>IF(IO_Master!F13="","",IO_Master!F13)</f>
        <v>Resolver or one-pulse pickup TBD</v>
      </c>
      <c r="F9" t="str">
        <f>IF(IO_Master!G13="","",IO_Master!G13)</f>
        <v>RESOLVER IN</v>
      </c>
      <c r="G9" t="str">
        <f>IF(IO_Master!H13="","",IO_Master!H13)</f>
        <v>7i49</v>
      </c>
      <c r="H9" t="str">
        <f>IF(IO_Master!I13="","",IO_Master!I13)</f>
        <v>Resolver TB</v>
      </c>
      <c r="I9" t="str">
        <f>IF(IO_Master!J13="","",IO_Master!J13)</f>
        <v>RES3</v>
      </c>
      <c r="J9" t="str">
        <f>IF(IO_Master!K13="","",IO_Master!K13)</f>
        <v>spindle-pos-fb</v>
      </c>
      <c r="K9" t="str">
        <f>IF(IO_Master!L13="","",IO_Master!L13)</f>
        <v>Spindle resolver / magnetic pickup</v>
      </c>
      <c r="L9" t="str">
        <f>IF(IO_Master!M13="","",IO_Master!M13)</f>
        <v>Verify in cabinet</v>
      </c>
      <c r="M9" t="str">
        <f>IF(IO_Master!N13="","",IO_Master!N13)</f>
        <v>Confirm whether spindle feedback is a resolver, magnetic pickup, or proprietary signal.</v>
      </c>
    </row>
    <row r="10" spans="1:13" x14ac:dyDescent="0.2">
      <c r="A10" t="str">
        <f>IF(IO_Master!B14="","",IO_Master!B14)</f>
        <v>X_HOME</v>
      </c>
      <c r="B10" t="str">
        <f>IF(IO_Master!C14="","",IO_Master!C14)</f>
        <v>LS-42</v>
      </c>
      <c r="C10" t="str">
        <f>IF(IO_Master!D14="","",IO_Master!D14)</f>
        <v>Axis safety</v>
      </c>
      <c r="D10" t="str">
        <f>IF(IO_Master!E14="","",IO_Master!E14)</f>
        <v>X axis zero return switch</v>
      </c>
      <c r="E10" t="str">
        <f>IF(IO_Master!F14="","",IO_Master!F14)</f>
        <v>NO, active-high assumed</v>
      </c>
      <c r="F10" t="str">
        <f>IF(IO_Master!G14="","",IO_Master!G14)</f>
        <v>IN</v>
      </c>
      <c r="G10" t="str">
        <f>IF(IO_Master!H14="","",IO_Master!H14)</f>
        <v>7i97T</v>
      </c>
      <c r="H10" t="str">
        <f>IF(IO_Master!I14="","",IO_Master!I14)</f>
        <v>TB5</v>
      </c>
      <c r="I10" t="str">
        <f>IF(IO_Master!J14="","",IO_Master!J14)</f>
        <v>IN0</v>
      </c>
      <c r="J10" t="str">
        <f>IF(IO_Master!K14="","",IO_Master!K14)</f>
        <v>home-x</v>
      </c>
      <c r="K10" t="str">
        <f>IF(IO_Master!L14="","",IO_Master!L14)</f>
        <v>Existing field switch / Mazak I/O</v>
      </c>
      <c r="L10" t="str">
        <f>IF(IO_Master!M14="","",IO_Master!M14)</f>
        <v>Confirmed from notes</v>
      </c>
      <c r="M10" t="str">
        <f>IF(IO_Master!N14="","",IO_Master!N14)</f>
        <v>Normal state must be verified.</v>
      </c>
    </row>
    <row r="11" spans="1:13" x14ac:dyDescent="0.2">
      <c r="A11" t="str">
        <f>IF(IO_Master!B15="","",IO_Master!B15)</f>
        <v>X_LIMIT_PLUS</v>
      </c>
      <c r="B11" t="str">
        <f>IF(IO_Master!C15="","",IO_Master!C15)</f>
        <v>OT+X</v>
      </c>
      <c r="C11" t="str">
        <f>IF(IO_Master!D15="","",IO_Master!D15)</f>
        <v>Axis safety</v>
      </c>
      <c r="D11" t="str">
        <f>IF(IO_Master!E15="","",IO_Master!E15)</f>
        <v>X positive overtravel limit</v>
      </c>
      <c r="E11" t="str">
        <f>IF(IO_Master!F15="","",IO_Master!F15)</f>
        <v>NC, active-low assumed</v>
      </c>
      <c r="F11" t="str">
        <f>IF(IO_Master!G15="","",IO_Master!G15)</f>
        <v>IN</v>
      </c>
      <c r="G11" t="str">
        <f>IF(IO_Master!H15="","",IO_Master!H15)</f>
        <v>7i97T</v>
      </c>
      <c r="H11" t="str">
        <f>IF(IO_Master!I15="","",IO_Master!I15)</f>
        <v>TB5</v>
      </c>
      <c r="I11" t="str">
        <f>IF(IO_Master!J15="","",IO_Master!J15)</f>
        <v>IN1</v>
      </c>
      <c r="J11" t="str">
        <f>IF(IO_Master!K15="","",IO_Master!K15)</f>
        <v>limit-x-plus</v>
      </c>
      <c r="K11" t="str">
        <f>IF(IO_Master!L15="","",IO_Master!L15)</f>
        <v>Existing OT chain</v>
      </c>
      <c r="L11" t="str">
        <f>IF(IO_Master!M15="","",IO_Master!M15)</f>
        <v>Verify in cabinet</v>
      </c>
      <c r="M11" t="str">
        <f>IF(IO_Master!N15="","",IO_Master!N15)</f>
        <v>May be chained rather than separate.</v>
      </c>
    </row>
    <row r="12" spans="1:13" x14ac:dyDescent="0.2">
      <c r="A12" t="str">
        <f>IF(IO_Master!B16="","",IO_Master!B16)</f>
        <v>X_LIMIT_MINUS</v>
      </c>
      <c r="B12" t="str">
        <f>IF(IO_Master!C16="","",IO_Master!C16)</f>
        <v>OT-X</v>
      </c>
      <c r="C12" t="str">
        <f>IF(IO_Master!D16="","",IO_Master!D16)</f>
        <v>Axis safety</v>
      </c>
      <c r="D12" t="str">
        <f>IF(IO_Master!E16="","",IO_Master!E16)</f>
        <v>X negative overtravel limit</v>
      </c>
      <c r="E12" t="str">
        <f>IF(IO_Master!F16="","",IO_Master!F16)</f>
        <v>NC, active-low assumed</v>
      </c>
      <c r="F12" t="str">
        <f>IF(IO_Master!G16="","",IO_Master!G16)</f>
        <v>IN</v>
      </c>
      <c r="G12" t="str">
        <f>IF(IO_Master!H16="","",IO_Master!H16)</f>
        <v>7i97T</v>
      </c>
      <c r="H12" t="str">
        <f>IF(IO_Master!I16="","",IO_Master!I16)</f>
        <v>TB5</v>
      </c>
      <c r="I12" t="str">
        <f>IF(IO_Master!J16="","",IO_Master!J16)</f>
        <v>IN2</v>
      </c>
      <c r="J12" t="str">
        <f>IF(IO_Master!K16="","",IO_Master!K16)</f>
        <v>limit-x-minus</v>
      </c>
      <c r="K12" t="str">
        <f>IF(IO_Master!L16="","",IO_Master!L16)</f>
        <v>Existing OT chain</v>
      </c>
      <c r="L12" t="str">
        <f>IF(IO_Master!M16="","",IO_Master!M16)</f>
        <v>Verify in cabinet</v>
      </c>
      <c r="M12" t="str">
        <f>IF(IO_Master!N16="","",IO_Master!N16)</f>
        <v>May be chained rather than separate.</v>
      </c>
    </row>
    <row r="13" spans="1:13" x14ac:dyDescent="0.2">
      <c r="A13" t="str">
        <f>IF(IO_Master!B17="","",IO_Master!B17)</f>
        <v>Y_HOME</v>
      </c>
      <c r="B13" t="str">
        <f>IF(IO_Master!C17="","",IO_Master!C17)</f>
        <v>LS-52</v>
      </c>
      <c r="C13" t="str">
        <f>IF(IO_Master!D17="","",IO_Master!D17)</f>
        <v>Axis safety</v>
      </c>
      <c r="D13" t="str">
        <f>IF(IO_Master!E17="","",IO_Master!E17)</f>
        <v>Y axis zero return switch</v>
      </c>
      <c r="E13" t="str">
        <f>IF(IO_Master!F17="","",IO_Master!F17)</f>
        <v>NO assumed</v>
      </c>
      <c r="F13" t="str">
        <f>IF(IO_Master!G17="","",IO_Master!G17)</f>
        <v>IN</v>
      </c>
      <c r="G13" t="str">
        <f>IF(IO_Master!H17="","",IO_Master!H17)</f>
        <v>7i97T</v>
      </c>
      <c r="H13" t="str">
        <f>IF(IO_Master!I17="","",IO_Master!I17)</f>
        <v>TB5</v>
      </c>
      <c r="I13" t="str">
        <f>IF(IO_Master!J17="","",IO_Master!J17)</f>
        <v>IN3</v>
      </c>
      <c r="J13" t="str">
        <f>IF(IO_Master!K17="","",IO_Master!K17)</f>
        <v>home-y</v>
      </c>
      <c r="K13" t="str">
        <f>IF(IO_Master!L17="","",IO_Master!L17)</f>
        <v>Existing field switch</v>
      </c>
      <c r="L13" t="str">
        <f>IF(IO_Master!M17="","",IO_Master!M17)</f>
        <v>Confirmed from notes</v>
      </c>
      <c r="M13" t="str">
        <f>IF(IO_Master!N17="","",IO_Master!N17)</f>
        <v/>
      </c>
    </row>
    <row r="14" spans="1:13" x14ac:dyDescent="0.2">
      <c r="A14" t="str">
        <f>IF(IO_Master!B18="","",IO_Master!B18)</f>
        <v>Y_LIMIT_PLUS</v>
      </c>
      <c r="B14" t="str">
        <f>IF(IO_Master!C18="","",IO_Master!C18)</f>
        <v>OT+Y</v>
      </c>
      <c r="C14" t="str">
        <f>IF(IO_Master!D18="","",IO_Master!D18)</f>
        <v>Axis safety</v>
      </c>
      <c r="D14" t="str">
        <f>IF(IO_Master!E18="","",IO_Master!E18)</f>
        <v>Y positive overtravel limit</v>
      </c>
      <c r="E14" t="str">
        <f>IF(IO_Master!F18="","",IO_Master!F18)</f>
        <v>NC assumed</v>
      </c>
      <c r="F14" t="str">
        <f>IF(IO_Master!G18="","",IO_Master!G18)</f>
        <v>IN</v>
      </c>
      <c r="G14" t="str">
        <f>IF(IO_Master!H18="","",IO_Master!H18)</f>
        <v>7i97T</v>
      </c>
      <c r="H14" t="str">
        <f>IF(IO_Master!I18="","",IO_Master!I18)</f>
        <v>TB5</v>
      </c>
      <c r="I14" t="str">
        <f>IF(IO_Master!J18="","",IO_Master!J18)</f>
        <v>IN4</v>
      </c>
      <c r="J14" t="str">
        <f>IF(IO_Master!K18="","",IO_Master!K18)</f>
        <v>limit-y-plus</v>
      </c>
      <c r="K14" t="str">
        <f>IF(IO_Master!L18="","",IO_Master!L18)</f>
        <v>Existing OT chain</v>
      </c>
      <c r="L14" t="str">
        <f>IF(IO_Master!M18="","",IO_Master!M18)</f>
        <v>Verify in cabinet</v>
      </c>
      <c r="M14" t="str">
        <f>IF(IO_Master!N18="","",IO_Master!N18)</f>
        <v/>
      </c>
    </row>
    <row r="15" spans="1:13" x14ac:dyDescent="0.2">
      <c r="A15" t="str">
        <f>IF(IO_Master!B19="","",IO_Master!B19)</f>
        <v>Y_LIMIT_MINUS</v>
      </c>
      <c r="B15" t="str">
        <f>IF(IO_Master!C19="","",IO_Master!C19)</f>
        <v>OT-Y</v>
      </c>
      <c r="C15" t="str">
        <f>IF(IO_Master!D19="","",IO_Master!D19)</f>
        <v>Axis safety</v>
      </c>
      <c r="D15" t="str">
        <f>IF(IO_Master!E19="","",IO_Master!E19)</f>
        <v>Y negative overtravel limit</v>
      </c>
      <c r="E15" t="str">
        <f>IF(IO_Master!F19="","",IO_Master!F19)</f>
        <v>NC assumed</v>
      </c>
      <c r="F15" t="str">
        <f>IF(IO_Master!G19="","",IO_Master!G19)</f>
        <v>IN</v>
      </c>
      <c r="G15" t="str">
        <f>IF(IO_Master!H19="","",IO_Master!H19)</f>
        <v>7i97T</v>
      </c>
      <c r="H15" t="str">
        <f>IF(IO_Master!I19="","",IO_Master!I19)</f>
        <v>TB5</v>
      </c>
      <c r="I15" t="str">
        <f>IF(IO_Master!J19="","",IO_Master!J19)</f>
        <v>IN5</v>
      </c>
      <c r="J15" t="str">
        <f>IF(IO_Master!K19="","",IO_Master!K19)</f>
        <v>limit-y-minus</v>
      </c>
      <c r="K15" t="str">
        <f>IF(IO_Master!L19="","",IO_Master!L19)</f>
        <v>Existing OT chain</v>
      </c>
      <c r="L15" t="str">
        <f>IF(IO_Master!M19="","",IO_Master!M19)</f>
        <v>Verify in cabinet</v>
      </c>
      <c r="M15" t="str">
        <f>IF(IO_Master!N19="","",IO_Master!N19)</f>
        <v/>
      </c>
    </row>
    <row r="16" spans="1:13" x14ac:dyDescent="0.2">
      <c r="A16" t="str">
        <f>IF(IO_Master!B20="","",IO_Master!B20)</f>
        <v>Z_HOME</v>
      </c>
      <c r="B16" t="str">
        <f>IF(IO_Master!C20="","",IO_Master!C20)</f>
        <v>LS-62</v>
      </c>
      <c r="C16" t="str">
        <f>IF(IO_Master!D20="","",IO_Master!D20)</f>
        <v>Axis safety</v>
      </c>
      <c r="D16" t="str">
        <f>IF(IO_Master!E20="","",IO_Master!E20)</f>
        <v>Z axis zero return switch</v>
      </c>
      <c r="E16" t="str">
        <f>IF(IO_Master!F20="","",IO_Master!F20)</f>
        <v>NO assumed</v>
      </c>
      <c r="F16" t="str">
        <f>IF(IO_Master!G20="","",IO_Master!G20)</f>
        <v>IN</v>
      </c>
      <c r="G16" t="str">
        <f>IF(IO_Master!H20="","",IO_Master!H20)</f>
        <v>7i97T</v>
      </c>
      <c r="H16" t="str">
        <f>IF(IO_Master!I20="","",IO_Master!I20)</f>
        <v>TB5</v>
      </c>
      <c r="I16" t="str">
        <f>IF(IO_Master!J20="","",IO_Master!J20)</f>
        <v>IN6</v>
      </c>
      <c r="J16" t="str">
        <f>IF(IO_Master!K20="","",IO_Master!K20)</f>
        <v>home-z</v>
      </c>
      <c r="K16" t="str">
        <f>IF(IO_Master!L20="","",IO_Master!L20)</f>
        <v>Existing field switch</v>
      </c>
      <c r="L16" t="str">
        <f>IF(IO_Master!M20="","",IO_Master!M20)</f>
        <v>Confirmed from notes</v>
      </c>
      <c r="M16" t="str">
        <f>IF(IO_Master!N20="","",IO_Master!N20)</f>
        <v/>
      </c>
    </row>
    <row r="17" spans="1:13" x14ac:dyDescent="0.2">
      <c r="A17" t="str">
        <f>IF(IO_Master!B21="","",IO_Master!B21)</f>
        <v>Z_LIMIT_PLUS</v>
      </c>
      <c r="B17" t="str">
        <f>IF(IO_Master!C21="","",IO_Master!C21)</f>
        <v>OT+Z</v>
      </c>
      <c r="C17" t="str">
        <f>IF(IO_Master!D21="","",IO_Master!D21)</f>
        <v>Axis safety</v>
      </c>
      <c r="D17" t="str">
        <f>IF(IO_Master!E21="","",IO_Master!E21)</f>
        <v>Z positive overtravel limit</v>
      </c>
      <c r="E17" t="str">
        <f>IF(IO_Master!F21="","",IO_Master!F21)</f>
        <v>NC assumed</v>
      </c>
      <c r="F17" t="str">
        <f>IF(IO_Master!G21="","",IO_Master!G21)</f>
        <v>IN</v>
      </c>
      <c r="G17" t="str">
        <f>IF(IO_Master!H21="","",IO_Master!H21)</f>
        <v>7i97T</v>
      </c>
      <c r="H17" t="str">
        <f>IF(IO_Master!I21="","",IO_Master!I21)</f>
        <v>TB5</v>
      </c>
      <c r="I17" t="str">
        <f>IF(IO_Master!J21="","",IO_Master!J21)</f>
        <v>IN7</v>
      </c>
      <c r="J17" t="str">
        <f>IF(IO_Master!K21="","",IO_Master!K21)</f>
        <v>limit-z-plus</v>
      </c>
      <c r="K17" t="str">
        <f>IF(IO_Master!L21="","",IO_Master!L21)</f>
        <v>Existing OT chain</v>
      </c>
      <c r="L17" t="str">
        <f>IF(IO_Master!M21="","",IO_Master!M21)</f>
        <v>Verify in cabinet</v>
      </c>
      <c r="M17" t="str">
        <f>IF(IO_Master!N21="","",IO_Master!N21)</f>
        <v/>
      </c>
    </row>
    <row r="18" spans="1:13" x14ac:dyDescent="0.2">
      <c r="A18" t="str">
        <f>IF(IO_Master!B22="","",IO_Master!B22)</f>
        <v>Z_LIMIT_MINUS</v>
      </c>
      <c r="B18" t="str">
        <f>IF(IO_Master!C22="","",IO_Master!C22)</f>
        <v>OT-Z</v>
      </c>
      <c r="C18" t="str">
        <f>IF(IO_Master!D22="","",IO_Master!D22)</f>
        <v>Axis safety</v>
      </c>
      <c r="D18" t="str">
        <f>IF(IO_Master!E22="","",IO_Master!E22)</f>
        <v>Z negative overtravel limit</v>
      </c>
      <c r="E18" t="str">
        <f>IF(IO_Master!F22="","",IO_Master!F22)</f>
        <v>NC assumed</v>
      </c>
      <c r="F18" t="str">
        <f>IF(IO_Master!G22="","",IO_Master!G22)</f>
        <v>IN</v>
      </c>
      <c r="G18" t="str">
        <f>IF(IO_Master!H22="","",IO_Master!H22)</f>
        <v>7i97T</v>
      </c>
      <c r="H18" t="str">
        <f>IF(IO_Master!I22="","",IO_Master!I22)</f>
        <v>TB5</v>
      </c>
      <c r="I18" t="str">
        <f>IF(IO_Master!J22="","",IO_Master!J22)</f>
        <v>IN8</v>
      </c>
      <c r="J18" t="str">
        <f>IF(IO_Master!K22="","",IO_Master!K22)</f>
        <v>limit-z-minus</v>
      </c>
      <c r="K18" t="str">
        <f>IF(IO_Master!L22="","",IO_Master!L22)</f>
        <v>Existing OT chain</v>
      </c>
      <c r="L18" t="str">
        <f>IF(IO_Master!M22="","",IO_Master!M22)</f>
        <v>Verify in cabinet</v>
      </c>
      <c r="M18" t="str">
        <f>IF(IO_Master!N22="","",IO_Master!N22)</f>
        <v/>
      </c>
    </row>
    <row r="19" spans="1:13" x14ac:dyDescent="0.2">
      <c r="A19" t="str">
        <f>IF(IO_Master!B23="","",IO_Master!B23)</f>
        <v>X_DRIVE_FAULT</v>
      </c>
      <c r="B19" t="str">
        <f>IF(IO_Master!C23="","",IO_Master!C23)</f>
        <v/>
      </c>
      <c r="C19" t="str">
        <f>IF(IO_Master!D23="","",IO_Master!D23)</f>
        <v>Drive safety</v>
      </c>
      <c r="D19" t="str">
        <f>IF(IO_Master!E23="","",IO_Master!E23)</f>
        <v>X servo drive alarm/fault</v>
      </c>
      <c r="E19" t="str">
        <f>IF(IO_Master!F23="","",IO_Master!F23)</f>
        <v>Active-low assumed</v>
      </c>
      <c r="F19" t="str">
        <f>IF(IO_Master!G23="","",IO_Master!G23)</f>
        <v>IN</v>
      </c>
      <c r="G19" t="str">
        <f>IF(IO_Master!H23="","",IO_Master!H23)</f>
        <v>7i97T</v>
      </c>
      <c r="H19" t="str">
        <f>IF(IO_Master!I23="","",IO_Master!I23)</f>
        <v>TB5</v>
      </c>
      <c r="I19" t="str">
        <f>IF(IO_Master!J23="","",IO_Master!J23)</f>
        <v>IN9</v>
      </c>
      <c r="J19" t="str">
        <f>IF(IO_Master!K23="","",IO_Master!K23)</f>
        <v>x-drive-fault</v>
      </c>
      <c r="K19" t="str">
        <f>IF(IO_Master!L23="","",IO_Master!L23)</f>
        <v>X Mitsubishi servo amp</v>
      </c>
      <c r="L19" t="str">
        <f>IF(IO_Master!M23="","",IO_Master!M23)</f>
        <v>Verify in cabinet</v>
      </c>
      <c r="M19" t="str">
        <f>IF(IO_Master!N23="","",IO_Master!N23)</f>
        <v>Find alarm contact logic at drive terminal.</v>
      </c>
    </row>
    <row r="20" spans="1:13" x14ac:dyDescent="0.2">
      <c r="A20" t="str">
        <f>IF(IO_Master!B24="","",IO_Master!B24)</f>
        <v>Y_DRIVE_FAULT</v>
      </c>
      <c r="B20" t="str">
        <f>IF(IO_Master!C24="","",IO_Master!C24)</f>
        <v/>
      </c>
      <c r="C20" t="str">
        <f>IF(IO_Master!D24="","",IO_Master!D24)</f>
        <v>Drive safety</v>
      </c>
      <c r="D20" t="str">
        <f>IF(IO_Master!E24="","",IO_Master!E24)</f>
        <v>Y servo drive alarm/fault</v>
      </c>
      <c r="E20" t="str">
        <f>IF(IO_Master!F24="","",IO_Master!F24)</f>
        <v>Active-low assumed</v>
      </c>
      <c r="F20" t="str">
        <f>IF(IO_Master!G24="","",IO_Master!G24)</f>
        <v>IN</v>
      </c>
      <c r="G20" t="str">
        <f>IF(IO_Master!H24="","",IO_Master!H24)</f>
        <v>7i97T</v>
      </c>
      <c r="H20" t="str">
        <f>IF(IO_Master!I24="","",IO_Master!I24)</f>
        <v>TB5</v>
      </c>
      <c r="I20" t="str">
        <f>IF(IO_Master!J24="","",IO_Master!J24)</f>
        <v>IN10</v>
      </c>
      <c r="J20" t="str">
        <f>IF(IO_Master!K24="","",IO_Master!K24)</f>
        <v>y-drive-fault</v>
      </c>
      <c r="K20" t="str">
        <f>IF(IO_Master!L24="","",IO_Master!L24)</f>
        <v>Y Mitsubishi servo amp</v>
      </c>
      <c r="L20" t="str">
        <f>IF(IO_Master!M24="","",IO_Master!M24)</f>
        <v>Verify in cabinet</v>
      </c>
      <c r="M20" t="str">
        <f>IF(IO_Master!N24="","",IO_Master!N24)</f>
        <v/>
      </c>
    </row>
    <row r="21" spans="1:13" x14ac:dyDescent="0.2">
      <c r="A21" t="str">
        <f>IF(IO_Master!B25="","",IO_Master!B25)</f>
        <v>Z_DRIVE_FAULT</v>
      </c>
      <c r="B21" t="str">
        <f>IF(IO_Master!C25="","",IO_Master!C25)</f>
        <v/>
      </c>
      <c r="C21" t="str">
        <f>IF(IO_Master!D25="","",IO_Master!D25)</f>
        <v>Drive safety</v>
      </c>
      <c r="D21" t="str">
        <f>IF(IO_Master!E25="","",IO_Master!E25)</f>
        <v>Z servo drive alarm/fault</v>
      </c>
      <c r="E21" t="str">
        <f>IF(IO_Master!F25="","",IO_Master!F25)</f>
        <v>Active-low assumed</v>
      </c>
      <c r="F21" t="str">
        <f>IF(IO_Master!G25="","",IO_Master!G25)</f>
        <v>IN</v>
      </c>
      <c r="G21" t="str">
        <f>IF(IO_Master!H25="","",IO_Master!H25)</f>
        <v>7i97T</v>
      </c>
      <c r="H21" t="str">
        <f>IF(IO_Master!I25="","",IO_Master!I25)</f>
        <v>TB5</v>
      </c>
      <c r="I21" t="str">
        <f>IF(IO_Master!J25="","",IO_Master!J25)</f>
        <v>IN11</v>
      </c>
      <c r="J21" t="str">
        <f>IF(IO_Master!K25="","",IO_Master!K25)</f>
        <v>z-drive-fault</v>
      </c>
      <c r="K21" t="str">
        <f>IF(IO_Master!L25="","",IO_Master!L25)</f>
        <v>Z Mitsubishi servo amp</v>
      </c>
      <c r="L21" t="str">
        <f>IF(IO_Master!M25="","",IO_Master!M25)</f>
        <v>Verify in cabinet</v>
      </c>
      <c r="M21" t="str">
        <f>IF(IO_Master!N25="","",IO_Master!N25)</f>
        <v/>
      </c>
    </row>
    <row r="22" spans="1:13" x14ac:dyDescent="0.2">
      <c r="A22" t="str">
        <f>IF(IO_Master!B26="","",IO_Master!B26)</f>
        <v>SPINDLE_FAULT</v>
      </c>
      <c r="B22" t="str">
        <f>IF(IO_Master!C26="","",IO_Master!C26)</f>
        <v/>
      </c>
      <c r="C22" t="str">
        <f>IF(IO_Master!D26="","",IO_Master!D26)</f>
        <v>Spindle safety</v>
      </c>
      <c r="D22" t="str">
        <f>IF(IO_Master!E26="","",IO_Master!E26)</f>
        <v>FR-SX alarm/fault</v>
      </c>
      <c r="E22" t="str">
        <f>IF(IO_Master!F26="","",IO_Master!F26)</f>
        <v>Active-low assumed</v>
      </c>
      <c r="F22" t="str">
        <f>IF(IO_Master!G26="","",IO_Master!G26)</f>
        <v>IN</v>
      </c>
      <c r="G22" t="str">
        <f>IF(IO_Master!H26="","",IO_Master!H26)</f>
        <v>7i97T</v>
      </c>
      <c r="H22" t="str">
        <f>IF(IO_Master!I26="","",IO_Master!I26)</f>
        <v>TB5</v>
      </c>
      <c r="I22" t="str">
        <f>IF(IO_Master!J26="","",IO_Master!J26)</f>
        <v>IN12</v>
      </c>
      <c r="J22" t="str">
        <f>IF(IO_Master!K26="","",IO_Master!K26)</f>
        <v>spindle-fault</v>
      </c>
      <c r="K22" t="str">
        <f>IF(IO_Master!L26="","",IO_Master!L26)</f>
        <v>FR-SX spindle controller</v>
      </c>
      <c r="L22" t="str">
        <f>IF(IO_Master!M26="","",IO_Master!M26)</f>
        <v>Verify in cabinet</v>
      </c>
      <c r="M22" t="str">
        <f>IF(IO_Master!N26="","",IO_Master!N26)</f>
        <v/>
      </c>
    </row>
    <row r="23" spans="1:13" x14ac:dyDescent="0.2">
      <c r="A23" t="str">
        <f>IF(IO_Master!B27="","",IO_Master!B27)</f>
        <v>ESTOP_CHAIN</v>
      </c>
      <c r="B23" t="str">
        <f>IF(IO_Master!C27="","",IO_Master!C27)</f>
        <v/>
      </c>
      <c r="C23" t="str">
        <f>IF(IO_Master!D27="","",IO_Master!D27)</f>
        <v>Safety</v>
      </c>
      <c r="D23" t="str">
        <f>IF(IO_Master!E27="","",IO_Master!E27)</f>
        <v>External estop chain input</v>
      </c>
      <c r="E23" t="str">
        <f>IF(IO_Master!F27="","",IO_Master!F27)</f>
        <v>NC, opens on fault</v>
      </c>
      <c r="F23" t="str">
        <f>IF(IO_Master!G27="","",IO_Master!G27)</f>
        <v>IN</v>
      </c>
      <c r="G23" t="str">
        <f>IF(IO_Master!H27="","",IO_Master!H27)</f>
        <v>7i97T</v>
      </c>
      <c r="H23" t="str">
        <f>IF(IO_Master!I27="","",IO_Master!I27)</f>
        <v>TB5</v>
      </c>
      <c r="I23" t="str">
        <f>IF(IO_Master!J27="","",IO_Master!J27)</f>
        <v>IN13</v>
      </c>
      <c r="J23" t="str">
        <f>IF(IO_Master!K27="","",IO_Master!K27)</f>
        <v>estop-ext</v>
      </c>
      <c r="K23" t="str">
        <f>IF(IO_Master!L27="","",IO_Master!L27)</f>
        <v>Existing safety chain contact</v>
      </c>
      <c r="L23" t="str">
        <f>IF(IO_Master!M27="","",IO_Master!M27)</f>
        <v>Verify in cabinet</v>
      </c>
      <c r="M23" t="str">
        <f>IF(IO_Master!N27="","",IO_Master!N27)</f>
        <v>Consider safety relay; do not rely on software alone for safety.</v>
      </c>
    </row>
    <row r="24" spans="1:13" x14ac:dyDescent="0.2">
      <c r="A24" t="str">
        <f>IF(IO_Master!B28="","",IO_Master!B28)</f>
        <v>DOOR_CLOSED</v>
      </c>
      <c r="B24" t="str">
        <f>IF(IO_Master!C28="","",IO_Master!C28)</f>
        <v/>
      </c>
      <c r="C24" t="str">
        <f>IF(IO_Master!D28="","",IO_Master!D28)</f>
        <v>Safety</v>
      </c>
      <c r="D24" t="str">
        <f>IF(IO_Master!E28="","",IO_Master!E28)</f>
        <v>Door interlock</v>
      </c>
      <c r="E24" t="str">
        <f>IF(IO_Master!F28="","",IO_Master!F28)</f>
        <v>NO assumed</v>
      </c>
      <c r="F24" t="str">
        <f>IF(IO_Master!G28="","",IO_Master!G28)</f>
        <v>IN</v>
      </c>
      <c r="G24" t="str">
        <f>IF(IO_Master!H28="","",IO_Master!H28)</f>
        <v>7i97T</v>
      </c>
      <c r="H24" t="str">
        <f>IF(IO_Master!I28="","",IO_Master!I28)</f>
        <v>TB5</v>
      </c>
      <c r="I24" t="str">
        <f>IF(IO_Master!J28="","",IO_Master!J28)</f>
        <v>IN14</v>
      </c>
      <c r="J24" t="str">
        <f>IF(IO_Master!K28="","",IO_Master!K28)</f>
        <v>door-closed</v>
      </c>
      <c r="K24" t="str">
        <f>IF(IO_Master!L28="","",IO_Master!L28)</f>
        <v>Door switch / interlock chain</v>
      </c>
      <c r="L24" t="str">
        <f>IF(IO_Master!M28="","",IO_Master!M28)</f>
        <v>Verify in cabinet</v>
      </c>
      <c r="M24" t="str">
        <f>IF(IO_Master!N28="","",IO_Master!N28)</f>
        <v/>
      </c>
    </row>
    <row r="25" spans="1:13" x14ac:dyDescent="0.2">
      <c r="A25" t="str">
        <f>IF(IO_Master!B29="","",IO_Master!B29)</f>
        <v>LUBE_OK</v>
      </c>
      <c r="B25" t="str">
        <f>IF(IO_Master!C29="","",IO_Master!C29)</f>
        <v/>
      </c>
      <c r="C25" t="str">
        <f>IF(IO_Master!D29="","",IO_Master!D29)</f>
        <v>Utility safety</v>
      </c>
      <c r="D25" t="str">
        <f>IF(IO_Master!E29="","",IO_Master!E29)</f>
        <v>Central lube pressure/float OK</v>
      </c>
      <c r="E25" t="str">
        <f>IF(IO_Master!F29="","",IO_Master!F29)</f>
        <v>NO assumed</v>
      </c>
      <c r="F25" t="str">
        <f>IF(IO_Master!G29="","",IO_Master!G29)</f>
        <v>IN</v>
      </c>
      <c r="G25" t="str">
        <f>IF(IO_Master!H29="","",IO_Master!H29)</f>
        <v>7i97T</v>
      </c>
      <c r="H25" t="str">
        <f>IF(IO_Master!I29="","",IO_Master!I29)</f>
        <v>TB5</v>
      </c>
      <c r="I25" t="str">
        <f>IF(IO_Master!J29="","",IO_Master!J29)</f>
        <v>IN15</v>
      </c>
      <c r="J25" t="str">
        <f>IF(IO_Master!K29="","",IO_Master!K29)</f>
        <v>lube-ok</v>
      </c>
      <c r="K25" t="str">
        <f>IF(IO_Master!L29="","",IO_Master!L29)</f>
        <v>Central lubrication unit</v>
      </c>
      <c r="L25" t="str">
        <f>IF(IO_Master!M29="","",IO_Master!M29)</f>
        <v>Verify in cabinet</v>
      </c>
      <c r="M25" t="str">
        <f>IF(IO_Master!N29="","",IO_Master!N29)</f>
        <v/>
      </c>
    </row>
    <row r="26" spans="1:13" x14ac:dyDescent="0.2">
      <c r="A26" t="str">
        <f>IF(IO_Master!B30="","",IO_Master!B30)</f>
        <v>HYD_PRESS_OK</v>
      </c>
      <c r="B26" t="str">
        <f>IF(IO_Master!C30="","",IO_Master!C30)</f>
        <v/>
      </c>
      <c r="C26" t="str">
        <f>IF(IO_Master!D30="","",IO_Master!D30)</f>
        <v>Hydraulic safety</v>
      </c>
      <c r="D26" t="str">
        <f>IF(IO_Master!E30="","",IO_Master!E30)</f>
        <v>Hydraulic pressure OK</v>
      </c>
      <c r="E26" t="str">
        <f>IF(IO_Master!F30="","",IO_Master!F30)</f>
        <v>NO assumed</v>
      </c>
      <c r="F26" t="str">
        <f>IF(IO_Master!G30="","",IO_Master!G30)</f>
        <v>IN</v>
      </c>
      <c r="G26" t="str">
        <f>IF(IO_Master!H30="","",IO_Master!H30)</f>
        <v>7i97T</v>
      </c>
      <c r="H26" t="str">
        <f>IF(IO_Master!I30="","",IO_Master!I30)</f>
        <v>TB5</v>
      </c>
      <c r="I26" t="str">
        <f>IF(IO_Master!J30="","",IO_Master!J30)</f>
        <v>IN16</v>
      </c>
      <c r="J26" t="str">
        <f>IF(IO_Master!K30="","",IO_Master!K30)</f>
        <v>hydraulic-ok</v>
      </c>
      <c r="K26" t="str">
        <f>IF(IO_Master!L30="","",IO_Master!L30)</f>
        <v>Hydraulic pressure switch</v>
      </c>
      <c r="L26" t="str">
        <f>IF(IO_Master!M30="","",IO_Master!M30)</f>
        <v>Verify in cabinet</v>
      </c>
      <c r="M26" t="str">
        <f>IF(IO_Master!N30="","",IO_Master!N30)</f>
        <v/>
      </c>
    </row>
    <row r="27" spans="1:13" x14ac:dyDescent="0.2">
      <c r="A27" t="str">
        <f>IF(IO_Master!B31="","",IO_Master!B31)</f>
        <v>CYCLE_START_PB</v>
      </c>
      <c r="B27" t="str">
        <f>IF(IO_Master!C31="","",IO_Master!C31)</f>
        <v/>
      </c>
      <c r="C27" t="str">
        <f>IF(IO_Master!D31="","",IO_Master!D31)</f>
        <v>Panel</v>
      </c>
      <c r="D27" t="str">
        <f>IF(IO_Master!E31="","",IO_Master!E31)</f>
        <v>Cycle start pushbutton</v>
      </c>
      <c r="E27" t="str">
        <f>IF(IO_Master!F31="","",IO_Master!F31)</f>
        <v>NO momentary</v>
      </c>
      <c r="F27" t="str">
        <f>IF(IO_Master!G31="","",IO_Master!G31)</f>
        <v>IN</v>
      </c>
      <c r="G27" t="str">
        <f>IF(IO_Master!H31="","",IO_Master!H31)</f>
        <v>7i97T</v>
      </c>
      <c r="H27" t="str">
        <f>IF(IO_Master!I31="","",IO_Master!I31)</f>
        <v>TB5</v>
      </c>
      <c r="I27" t="str">
        <f>IF(IO_Master!J31="","",IO_Master!J31)</f>
        <v>IN17</v>
      </c>
      <c r="J27" t="str">
        <f>IF(IO_Master!K31="","",IO_Master!K31)</f>
        <v>cycle-start-pb</v>
      </c>
      <c r="K27" t="str">
        <f>IF(IO_Master!L31="","",IO_Master!L31)</f>
        <v>Operator panel</v>
      </c>
      <c r="L27" t="str">
        <f>IF(IO_Master!M31="","",IO_Master!M31)</f>
        <v>Optional</v>
      </c>
      <c r="M27" t="str">
        <f>IF(IO_Master!N31="","",IO_Master!N31)</f>
        <v>Can also use LinuxCNC UI/pendant.</v>
      </c>
    </row>
    <row r="28" spans="1:13" x14ac:dyDescent="0.2">
      <c r="A28" t="str">
        <f>IF(IO_Master!B32="","",IO_Master!B32)</f>
        <v>FEED_HOLD_PB</v>
      </c>
      <c r="B28" t="str">
        <f>IF(IO_Master!C32="","",IO_Master!C32)</f>
        <v/>
      </c>
      <c r="C28" t="str">
        <f>IF(IO_Master!D32="","",IO_Master!D32)</f>
        <v>Panel</v>
      </c>
      <c r="D28" t="str">
        <f>IF(IO_Master!E32="","",IO_Master!E32)</f>
        <v>Feed hold pushbutton</v>
      </c>
      <c r="E28" t="str">
        <f>IF(IO_Master!F32="","",IO_Master!F32)</f>
        <v>NO momentary</v>
      </c>
      <c r="F28" t="str">
        <f>IF(IO_Master!G32="","",IO_Master!G32)</f>
        <v>IN</v>
      </c>
      <c r="G28" t="str">
        <f>IF(IO_Master!H32="","",IO_Master!H32)</f>
        <v>7i97T</v>
      </c>
      <c r="H28" t="str">
        <f>IF(IO_Master!I32="","",IO_Master!I32)</f>
        <v>TB5</v>
      </c>
      <c r="I28" t="str">
        <f>IF(IO_Master!J32="","",IO_Master!J32)</f>
        <v>IN18</v>
      </c>
      <c r="J28" t="str">
        <f>IF(IO_Master!K32="","",IO_Master!K32)</f>
        <v>feed-hold-pb</v>
      </c>
      <c r="K28" t="str">
        <f>IF(IO_Master!L32="","",IO_Master!L32)</f>
        <v>Operator panel</v>
      </c>
      <c r="L28" t="str">
        <f>IF(IO_Master!M32="","",IO_Master!M32)</f>
        <v>Optional</v>
      </c>
      <c r="M28" t="str">
        <f>IF(IO_Master!N32="","",IO_Master!N32)</f>
        <v/>
      </c>
    </row>
    <row r="29" spans="1:13" x14ac:dyDescent="0.2">
      <c r="A29" t="str">
        <f>IF(IO_Master!B33="","",IO_Master!B33)</f>
        <v>SINGLE_BLOCK_SW</v>
      </c>
      <c r="B29" t="str">
        <f>IF(IO_Master!C33="","",IO_Master!C33)</f>
        <v/>
      </c>
      <c r="C29" t="str">
        <f>IF(IO_Master!D33="","",IO_Master!D33)</f>
        <v>Panel</v>
      </c>
      <c r="D29" t="str">
        <f>IF(IO_Master!E33="","",IO_Master!E33)</f>
        <v>Single block switch</v>
      </c>
      <c r="E29" t="str">
        <f>IF(IO_Master!F33="","",IO_Master!F33)</f>
        <v>NO assumed</v>
      </c>
      <c r="F29" t="str">
        <f>IF(IO_Master!G33="","",IO_Master!G33)</f>
        <v>IN</v>
      </c>
      <c r="G29" t="str">
        <f>IF(IO_Master!H33="","",IO_Master!H33)</f>
        <v>7i97T</v>
      </c>
      <c r="H29" t="str">
        <f>IF(IO_Master!I33="","",IO_Master!I33)</f>
        <v>TB5</v>
      </c>
      <c r="I29" t="str">
        <f>IF(IO_Master!J33="","",IO_Master!J33)</f>
        <v>IN19</v>
      </c>
      <c r="J29" t="str">
        <f>IF(IO_Master!K33="","",IO_Master!K33)</f>
        <v>single-block</v>
      </c>
      <c r="K29" t="str">
        <f>IF(IO_Master!L33="","",IO_Master!L33)</f>
        <v>Operator panel</v>
      </c>
      <c r="L29" t="str">
        <f>IF(IO_Master!M33="","",IO_Master!M33)</f>
        <v>Optional</v>
      </c>
      <c r="M29" t="str">
        <f>IF(IO_Master!N33="","",IO_Master!N33)</f>
        <v/>
      </c>
    </row>
    <row r="30" spans="1:13" x14ac:dyDescent="0.2">
      <c r="A30" t="str">
        <f>IF(IO_Master!B34="","",IO_Master!B34)</f>
        <v>SPINDLE_ZERO_SPEED</v>
      </c>
      <c r="B30" t="str">
        <f>IF(IO_Master!C34="","",IO_Master!C34)</f>
        <v/>
      </c>
      <c r="C30" t="str">
        <f>IF(IO_Master!D34="","",IO_Master!D34)</f>
        <v>Spindle safety</v>
      </c>
      <c r="D30" t="str">
        <f>IF(IO_Master!E34="","",IO_Master!E34)</f>
        <v>Spindle zero speed / at speed feedback</v>
      </c>
      <c r="E30" t="str">
        <f>IF(IO_Master!F34="","",IO_Master!F34)</f>
        <v>TBD</v>
      </c>
      <c r="F30" t="str">
        <f>IF(IO_Master!G34="","",IO_Master!G34)</f>
        <v>IN</v>
      </c>
      <c r="G30" t="str">
        <f>IF(IO_Master!H34="","",IO_Master!H34)</f>
        <v>7i97T</v>
      </c>
      <c r="H30" t="str">
        <f>IF(IO_Master!I34="","",IO_Master!I34)</f>
        <v>TB5</v>
      </c>
      <c r="I30" t="str">
        <f>IF(IO_Master!J34="","",IO_Master!J34)</f>
        <v>Spare IN</v>
      </c>
      <c r="J30" t="str">
        <f>IF(IO_Master!K34="","",IO_Master!K34)</f>
        <v>spindle-zero-speed</v>
      </c>
      <c r="K30" t="str">
        <f>IF(IO_Master!L34="","",IO_Master!L34)</f>
        <v>FR-SX or spindle pickup logic</v>
      </c>
      <c r="L30" t="str">
        <f>IF(IO_Master!M34="","",IO_Master!M34)</f>
        <v>Verify in cabinet</v>
      </c>
      <c r="M30" t="str">
        <f>IF(IO_Master!N34="","",IO_Master!N34)</f>
        <v>Required for safe gear shift/toolchange if available.</v>
      </c>
    </row>
    <row r="31" spans="1:13" x14ac:dyDescent="0.2">
      <c r="A31" t="str">
        <f>IF(IO_Master!B35="","",IO_Master!B35)</f>
        <v>SERVO_READY</v>
      </c>
      <c r="B31" t="str">
        <f>IF(IO_Master!C35="","",IO_Master!C35)</f>
        <v/>
      </c>
      <c r="C31" t="str">
        <f>IF(IO_Master!D35="","",IO_Master!D35)</f>
        <v>Drive safety</v>
      </c>
      <c r="D31" t="str">
        <f>IF(IO_Master!E35="","",IO_Master!E35)</f>
        <v>Servo ready feedback</v>
      </c>
      <c r="E31" t="str">
        <f>IF(IO_Master!F35="","",IO_Master!F35)</f>
        <v>TBD</v>
      </c>
      <c r="F31" t="str">
        <f>IF(IO_Master!G35="","",IO_Master!G35)</f>
        <v>IN</v>
      </c>
      <c r="G31" t="str">
        <f>IF(IO_Master!H35="","",IO_Master!H35)</f>
        <v>7i97T</v>
      </c>
      <c r="H31" t="str">
        <f>IF(IO_Master!I35="","",IO_Master!I35)</f>
        <v>TB5</v>
      </c>
      <c r="I31" t="str">
        <f>IF(IO_Master!J35="","",IO_Master!J35)</f>
        <v>Spare IN</v>
      </c>
      <c r="J31" t="str">
        <f>IF(IO_Master!K35="","",IO_Master!K35)</f>
        <v>servo-ready</v>
      </c>
      <c r="K31" t="str">
        <f>IF(IO_Master!L35="","",IO_Master!L35)</f>
        <v>Servo drives / ready relay</v>
      </c>
      <c r="L31" t="str">
        <f>IF(IO_Master!M35="","",IO_Master!M35)</f>
        <v>Verify in cabinet</v>
      </c>
      <c r="M31" t="str">
        <f>IF(IO_Master!N35="","",IO_Master!N35)</f>
        <v>Useful before enabling motion.</v>
      </c>
    </row>
    <row r="32" spans="1:13" x14ac:dyDescent="0.2">
      <c r="A32" t="str">
        <f>IF(IO_Master!B36="","",IO_Master!B36)</f>
        <v>CABINET_TEMP_FAN_OK</v>
      </c>
      <c r="B32" t="str">
        <f>IF(IO_Master!C36="","",IO_Master!C36)</f>
        <v/>
      </c>
      <c r="C32" t="str">
        <f>IF(IO_Master!D36="","",IO_Master!D36)</f>
        <v>Cabinet</v>
      </c>
      <c r="D32" t="str">
        <f>IF(IO_Master!E36="","",IO_Master!E36)</f>
        <v>Overtemp or fan fail input</v>
      </c>
      <c r="E32" t="str">
        <f>IF(IO_Master!F36="","",IO_Master!F36)</f>
        <v>TBD</v>
      </c>
      <c r="F32" t="str">
        <f>IF(IO_Master!G36="","",IO_Master!G36)</f>
        <v>IN</v>
      </c>
      <c r="G32" t="str">
        <f>IF(IO_Master!H36="","",IO_Master!H36)</f>
        <v>7i97T</v>
      </c>
      <c r="H32" t="str">
        <f>IF(IO_Master!I36="","",IO_Master!I36)</f>
        <v>TB5</v>
      </c>
      <c r="I32" t="str">
        <f>IF(IO_Master!J36="","",IO_Master!J36)</f>
        <v>Spare IN</v>
      </c>
      <c r="J32" t="str">
        <f>IF(IO_Master!K36="","",IO_Master!K36)</f>
        <v>cabinet-ok</v>
      </c>
      <c r="K32" t="str">
        <f>IF(IO_Master!L36="","",IO_Master!L36)</f>
        <v>Cabinet sensor if present</v>
      </c>
      <c r="L32" t="str">
        <f>IF(IO_Master!M36="","",IO_Master!M36)</f>
        <v>Optional</v>
      </c>
      <c r="M32" t="str">
        <f>IF(IO_Master!N36="","",IO_Master!N36)</f>
        <v/>
      </c>
    </row>
    <row r="33" spans="1:13" x14ac:dyDescent="0.2">
      <c r="A33" t="str">
        <f>IF(IO_Master!B37="","",IO_Master!B37)</f>
        <v>RAPID_OVERRIDE</v>
      </c>
      <c r="B33" t="str">
        <f>IF(IO_Master!C37="","",IO_Master!C37)</f>
        <v/>
      </c>
      <c r="C33" t="str">
        <f>IF(IO_Master!D37="","",IO_Master!D37)</f>
        <v>Panel</v>
      </c>
      <c r="D33" t="str">
        <f>IF(IO_Master!E37="","",IO_Master!E37)</f>
        <v>Rapid override discrete contacts</v>
      </c>
      <c r="E33" t="str">
        <f>IF(IO_Master!F37="","",IO_Master!F37)</f>
        <v>TBD</v>
      </c>
      <c r="F33" t="str">
        <f>IF(IO_Master!G37="","",IO_Master!G37)</f>
        <v>IN</v>
      </c>
      <c r="G33" t="str">
        <f>IF(IO_Master!H37="","",IO_Master!H37)</f>
        <v>7i97T</v>
      </c>
      <c r="H33" t="str">
        <f>IF(IO_Master!I37="","",IO_Master!I37)</f>
        <v>TB5</v>
      </c>
      <c r="I33" t="str">
        <f>IF(IO_Master!J37="","",IO_Master!J37)</f>
        <v>Spare IN</v>
      </c>
      <c r="J33" t="str">
        <f>IF(IO_Master!K37="","",IO_Master!K37)</f>
        <v>rapid-override</v>
      </c>
      <c r="K33" t="str">
        <f>IF(IO_Master!L37="","",IO_Master!L37)</f>
        <v>Operator panel</v>
      </c>
      <c r="L33" t="str">
        <f>IF(IO_Master!M37="","",IO_Master!M37)</f>
        <v>Optional</v>
      </c>
      <c r="M33" t="str">
        <f>IF(IO_Master!N37="","",IO_Master!N37)</f>
        <v>If analog/pot, handle differently.</v>
      </c>
    </row>
    <row r="34" spans="1:13" x14ac:dyDescent="0.2">
      <c r="A34" t="str">
        <f>IF(IO_Master!B38="","",IO_Master!B38)</f>
        <v>X_DRIVE_ENABLE</v>
      </c>
      <c r="B34" t="str">
        <f>IF(IO_Master!C38="","",IO_Master!C38)</f>
        <v/>
      </c>
      <c r="C34" t="str">
        <f>IF(IO_Master!D38="","",IO_Master!D38)</f>
        <v>Drive control</v>
      </c>
      <c r="D34" t="str">
        <f>IF(IO_Master!E38="","",IO_Master!E38)</f>
        <v>Enable X servo amp</v>
      </c>
      <c r="E34" t="str">
        <f>IF(IO_Master!F38="","",IO_Master!F38)</f>
        <v>Active-high assumed</v>
      </c>
      <c r="F34" t="str">
        <f>IF(IO_Master!G38="","",IO_Master!G38)</f>
        <v>OUT</v>
      </c>
      <c r="G34" t="str">
        <f>IF(IO_Master!H38="","",IO_Master!H38)</f>
        <v>7i97T</v>
      </c>
      <c r="H34" t="str">
        <f>IF(IO_Master!I38="","",IO_Master!I38)</f>
        <v>TB6</v>
      </c>
      <c r="I34" t="str">
        <f>IF(IO_Master!J38="","",IO_Master!J38)</f>
        <v>OUT0</v>
      </c>
      <c r="J34" t="str">
        <f>IF(IO_Master!K38="","",IO_Master!K38)</f>
        <v>x-enable</v>
      </c>
      <c r="K34" t="str">
        <f>IF(IO_Master!L38="","",IO_Master!L38)</f>
        <v>X servo amp enable terminal</v>
      </c>
      <c r="L34" t="str">
        <f>IF(IO_Master!M38="","",IO_Master!M38)</f>
        <v>Verify in cabinet</v>
      </c>
      <c r="M34" t="str">
        <f>IF(IO_Master!N38="","",IO_Master!N38)</f>
        <v>Interlock through estop/ready.</v>
      </c>
    </row>
    <row r="35" spans="1:13" x14ac:dyDescent="0.2">
      <c r="A35" t="str">
        <f>IF(IO_Master!B39="","",IO_Master!B39)</f>
        <v>Y_DRIVE_ENABLE</v>
      </c>
      <c r="B35" t="str">
        <f>IF(IO_Master!C39="","",IO_Master!C39)</f>
        <v/>
      </c>
      <c r="C35" t="str">
        <f>IF(IO_Master!D39="","",IO_Master!D39)</f>
        <v>Drive control</v>
      </c>
      <c r="D35" t="str">
        <f>IF(IO_Master!E39="","",IO_Master!E39)</f>
        <v>Enable Y servo amp</v>
      </c>
      <c r="E35" t="str">
        <f>IF(IO_Master!F39="","",IO_Master!F39)</f>
        <v>Active-high assumed</v>
      </c>
      <c r="F35" t="str">
        <f>IF(IO_Master!G39="","",IO_Master!G39)</f>
        <v>OUT</v>
      </c>
      <c r="G35" t="str">
        <f>IF(IO_Master!H39="","",IO_Master!H39)</f>
        <v>7i97T</v>
      </c>
      <c r="H35" t="str">
        <f>IF(IO_Master!I39="","",IO_Master!I39)</f>
        <v>TB6</v>
      </c>
      <c r="I35" t="str">
        <f>IF(IO_Master!J39="","",IO_Master!J39)</f>
        <v>OUT1</v>
      </c>
      <c r="J35" t="str">
        <f>IF(IO_Master!K39="","",IO_Master!K39)</f>
        <v>y-enable</v>
      </c>
      <c r="K35" t="str">
        <f>IF(IO_Master!L39="","",IO_Master!L39)</f>
        <v>Y servo amp enable terminal</v>
      </c>
      <c r="L35" t="str">
        <f>IF(IO_Master!M39="","",IO_Master!M39)</f>
        <v>Verify in cabinet</v>
      </c>
      <c r="M35" t="str">
        <f>IF(IO_Master!N39="","",IO_Master!N39)</f>
        <v/>
      </c>
    </row>
    <row r="36" spans="1:13" x14ac:dyDescent="0.2">
      <c r="A36" t="str">
        <f>IF(IO_Master!B40="","",IO_Master!B40)</f>
        <v>Z_DRIVE_ENABLE</v>
      </c>
      <c r="B36" t="str">
        <f>IF(IO_Master!C40="","",IO_Master!C40)</f>
        <v/>
      </c>
      <c r="C36" t="str">
        <f>IF(IO_Master!D40="","",IO_Master!D40)</f>
        <v>Drive control</v>
      </c>
      <c r="D36" t="str">
        <f>IF(IO_Master!E40="","",IO_Master!E40)</f>
        <v>Enable Z servo amp</v>
      </c>
      <c r="E36" t="str">
        <f>IF(IO_Master!F40="","",IO_Master!F40)</f>
        <v>Active-high assumed</v>
      </c>
      <c r="F36" t="str">
        <f>IF(IO_Master!G40="","",IO_Master!G40)</f>
        <v>OUT</v>
      </c>
      <c r="G36" t="str">
        <f>IF(IO_Master!H40="","",IO_Master!H40)</f>
        <v>7i97T</v>
      </c>
      <c r="H36" t="str">
        <f>IF(IO_Master!I40="","",IO_Master!I40)</f>
        <v>TB6</v>
      </c>
      <c r="I36" t="str">
        <f>IF(IO_Master!J40="","",IO_Master!J40)</f>
        <v>OUT2</v>
      </c>
      <c r="J36" t="str">
        <f>IF(IO_Master!K40="","",IO_Master!K40)</f>
        <v>z-enable</v>
      </c>
      <c r="K36" t="str">
        <f>IF(IO_Master!L40="","",IO_Master!L40)</f>
        <v>Z servo amp enable terminal</v>
      </c>
      <c r="L36" t="str">
        <f>IF(IO_Master!M40="","",IO_Master!M40)</f>
        <v>Verify in cabinet</v>
      </c>
      <c r="M36" t="str">
        <f>IF(IO_Master!N40="","",IO_Master!N40)</f>
        <v/>
      </c>
    </row>
    <row r="37" spans="1:13" x14ac:dyDescent="0.2">
      <c r="A37" t="str">
        <f>IF(IO_Master!B41="","",IO_Master!B41)</f>
        <v>SPINDLE_ENABLE</v>
      </c>
      <c r="B37" t="str">
        <f>IF(IO_Master!C41="","",IO_Master!C41)</f>
        <v/>
      </c>
      <c r="C37" t="str">
        <f>IF(IO_Master!D41="","",IO_Master!D41)</f>
        <v>Spindle control</v>
      </c>
      <c r="D37" t="str">
        <f>IF(IO_Master!E41="","",IO_Master!E41)</f>
        <v>FR-SX enable/run permission</v>
      </c>
      <c r="E37" t="str">
        <f>IF(IO_Master!F41="","",IO_Master!F41)</f>
        <v>Active-high assumed</v>
      </c>
      <c r="F37" t="str">
        <f>IF(IO_Master!G41="","",IO_Master!G41)</f>
        <v>OUT</v>
      </c>
      <c r="G37" t="str">
        <f>IF(IO_Master!H41="","",IO_Master!H41)</f>
        <v>7i97T</v>
      </c>
      <c r="H37" t="str">
        <f>IF(IO_Master!I41="","",IO_Master!I41)</f>
        <v>TB6</v>
      </c>
      <c r="I37" t="str">
        <f>IF(IO_Master!J41="","",IO_Master!J41)</f>
        <v>OUT3</v>
      </c>
      <c r="J37" t="str">
        <f>IF(IO_Master!K41="","",IO_Master!K41)</f>
        <v>spindle-enable</v>
      </c>
      <c r="K37" t="str">
        <f>IF(IO_Master!L41="","",IO_Master!L41)</f>
        <v>FR-SX terminal</v>
      </c>
      <c r="L37" t="str">
        <f>IF(IO_Master!M41="","",IO_Master!M41)</f>
        <v>Verify in cabinet</v>
      </c>
      <c r="M37" t="str">
        <f>IF(IO_Master!N41="","",IO_Master!N41)</f>
        <v/>
      </c>
    </row>
    <row r="38" spans="1:13" x14ac:dyDescent="0.2">
      <c r="A38" t="str">
        <f>IF(IO_Master!B42="","",IO_Master!B42)</f>
        <v>SPINDLE_DIR</v>
      </c>
      <c r="B38" t="str">
        <f>IF(IO_Master!C42="","",IO_Master!C42)</f>
        <v/>
      </c>
      <c r="C38" t="str">
        <f>IF(IO_Master!D42="","",IO_Master!D42)</f>
        <v>Spindle control</v>
      </c>
      <c r="D38" t="str">
        <f>IF(IO_Master!E42="","",IO_Master!E42)</f>
        <v>Spindle direction select</v>
      </c>
      <c r="E38" t="str">
        <f>IF(IO_Master!F42="","",IO_Master!F42)</f>
        <v>High=FWD assumed</v>
      </c>
      <c r="F38" t="str">
        <f>IF(IO_Master!G42="","",IO_Master!G42)</f>
        <v>OUT</v>
      </c>
      <c r="G38" t="str">
        <f>IF(IO_Master!H42="","",IO_Master!H42)</f>
        <v>7i97T</v>
      </c>
      <c r="H38" t="str">
        <f>IF(IO_Master!I42="","",IO_Master!I42)</f>
        <v>TB6</v>
      </c>
      <c r="I38" t="str">
        <f>IF(IO_Master!J42="","",IO_Master!J42)</f>
        <v>OUT4</v>
      </c>
      <c r="J38" t="str">
        <f>IF(IO_Master!K42="","",IO_Master!K42)</f>
        <v>spindle-dir</v>
      </c>
      <c r="K38" t="str">
        <f>IF(IO_Master!L42="","",IO_Master!L42)</f>
        <v>FR-SX FWD/REV terminals</v>
      </c>
      <c r="L38" t="str">
        <f>IF(IO_Master!M42="","",IO_Master!M42)</f>
        <v>Verify in cabinet</v>
      </c>
      <c r="M38" t="str">
        <f>IF(IO_Master!N42="","",IO_Master!N42)</f>
        <v>May need separate FWD and REV outputs.</v>
      </c>
    </row>
    <row r="39" spans="1:13" x14ac:dyDescent="0.2">
      <c r="A39" t="str">
        <f>IF(IO_Master!B43="","",IO_Master!B43)</f>
        <v>SERVO_ON_CONTACTOR</v>
      </c>
      <c r="B39" t="str">
        <f>IF(IO_Master!C43="","",IO_Master!C43)</f>
        <v/>
      </c>
      <c r="C39" t="str">
        <f>IF(IO_Master!D43="","",IO_Master!D43)</f>
        <v>Safety/control</v>
      </c>
      <c r="D39" t="str">
        <f>IF(IO_Master!E43="","",IO_Master!E43)</f>
        <v>Main servo power contactor coil</v>
      </c>
      <c r="E39" t="str">
        <f>IF(IO_Master!F43="","",IO_Master!F43)</f>
        <v>Active-high assumed</v>
      </c>
      <c r="F39" t="str">
        <f>IF(IO_Master!G43="","",IO_Master!G43)</f>
        <v>OUT</v>
      </c>
      <c r="G39" t="str">
        <f>IF(IO_Master!H43="","",IO_Master!H43)</f>
        <v>7i97T</v>
      </c>
      <c r="H39" t="str">
        <f>IF(IO_Master!I43="","",IO_Master!I43)</f>
        <v>TB6</v>
      </c>
      <c r="I39" t="str">
        <f>IF(IO_Master!J43="","",IO_Master!J43)</f>
        <v>OUT5</v>
      </c>
      <c r="J39" t="str">
        <f>IF(IO_Master!K43="","",IO_Master!K43)</f>
        <v>main-servo-on</v>
      </c>
      <c r="K39" t="str">
        <f>IF(IO_Master!L43="","",IO_Master!L43)</f>
        <v>Original servo-on/contact chain</v>
      </c>
      <c r="L39" t="str">
        <f>IF(IO_Master!M43="","",IO_Master!M43)</f>
        <v>Verify in cabinet</v>
      </c>
      <c r="M39" t="str">
        <f>IF(IO_Master!N43="","",IO_Master!N43)</f>
        <v>Only if LinuxCNC will control contactor.</v>
      </c>
    </row>
    <row r="40" spans="1:13" x14ac:dyDescent="0.2">
      <c r="A40" t="str">
        <f>IF(IO_Master!B44="","",IO_Master!B44)</f>
        <v>READY_LAMP</v>
      </c>
      <c r="B40" t="str">
        <f>IF(IO_Master!C44="","",IO_Master!C44)</f>
        <v/>
      </c>
      <c r="C40" t="str">
        <f>IF(IO_Master!D44="","",IO_Master!D44)</f>
        <v>Panel</v>
      </c>
      <c r="D40" t="str">
        <f>IF(IO_Master!E44="","",IO_Master!E44)</f>
        <v>READY indicator lamp</v>
      </c>
      <c r="E40" t="str">
        <f>IF(IO_Master!F44="","",IO_Master!F44)</f>
        <v>Active-high assumed</v>
      </c>
      <c r="F40" t="str">
        <f>IF(IO_Master!G44="","",IO_Master!G44)</f>
        <v>OUT</v>
      </c>
      <c r="G40" t="str">
        <f>IF(IO_Master!H44="","",IO_Master!H44)</f>
        <v>7i97T</v>
      </c>
      <c r="H40" t="str">
        <f>IF(IO_Master!I44="","",IO_Master!I44)</f>
        <v>TB6</v>
      </c>
      <c r="I40" t="str">
        <f>IF(IO_Master!J44="","",IO_Master!J44)</f>
        <v>OUT6</v>
      </c>
      <c r="J40" t="str">
        <f>IF(IO_Master!K44="","",IO_Master!K44)</f>
        <v>lamp-ready</v>
      </c>
      <c r="K40" t="str">
        <f>IF(IO_Master!L44="","",IO_Master!L44)</f>
        <v>Operator panel lamp</v>
      </c>
      <c r="L40" t="str">
        <f>IF(IO_Master!M44="","",IO_Master!M44)</f>
        <v>Optional</v>
      </c>
      <c r="M40" t="str">
        <f>IF(IO_Master!N44="","",IO_Master!N44)</f>
        <v/>
      </c>
    </row>
    <row r="41" spans="1:13" x14ac:dyDescent="0.2">
      <c r="A41" t="str">
        <f>IF(IO_Master!B45="","",IO_Master!B45)</f>
        <v>ALARM_LAMP</v>
      </c>
      <c r="B41" t="str">
        <f>IF(IO_Master!C45="","",IO_Master!C45)</f>
        <v/>
      </c>
      <c r="C41" t="str">
        <f>IF(IO_Master!D45="","",IO_Master!D45)</f>
        <v>Panel</v>
      </c>
      <c r="D41" t="str">
        <f>IF(IO_Master!E45="","",IO_Master!E45)</f>
        <v>MACHINE FAILURE / alarm lamp</v>
      </c>
      <c r="E41" t="str">
        <f>IF(IO_Master!F45="","",IO_Master!F45)</f>
        <v>Active-high assumed</v>
      </c>
      <c r="F41" t="str">
        <f>IF(IO_Master!G45="","",IO_Master!G45)</f>
        <v>OUT</v>
      </c>
      <c r="G41" t="str">
        <f>IF(IO_Master!H45="","",IO_Master!H45)</f>
        <v>7i97T</v>
      </c>
      <c r="H41" t="str">
        <f>IF(IO_Master!I45="","",IO_Master!I45)</f>
        <v>TB6</v>
      </c>
      <c r="I41" t="str">
        <f>IF(IO_Master!J45="","",IO_Master!J45)</f>
        <v>OUT7</v>
      </c>
      <c r="J41" t="str">
        <f>IF(IO_Master!K45="","",IO_Master!K45)</f>
        <v>lamp-alarm</v>
      </c>
      <c r="K41" t="str">
        <f>IF(IO_Master!L45="","",IO_Master!L45)</f>
        <v>Operator panel lamp</v>
      </c>
      <c r="L41" t="str">
        <f>IF(IO_Master!M45="","",IO_Master!M45)</f>
        <v>Optional</v>
      </c>
      <c r="M41" t="str">
        <f>IF(IO_Master!N45="","",IO_Master!N45)</f>
        <v/>
      </c>
    </row>
    <row r="42" spans="1:13" x14ac:dyDescent="0.2">
      <c r="A42" t="str">
        <f>IF(IO_Master!B46="","",IO_Master!B46)</f>
        <v>SPINDLE_ORIENT_CMD</v>
      </c>
      <c r="B42" t="str">
        <f>IF(IO_Master!C46="","",IO_Master!C46)</f>
        <v/>
      </c>
      <c r="C42" t="str">
        <f>IF(IO_Master!D46="","",IO_Master!D46)</f>
        <v>Spindle / ATC</v>
      </c>
      <c r="D42" t="str">
        <f>IF(IO_Master!E46="","",IO_Master!E46)</f>
        <v>Spindle orient command</v>
      </c>
      <c r="E42" t="str">
        <f>IF(IO_Master!F46="","",IO_Master!F46)</f>
        <v>TBD</v>
      </c>
      <c r="F42" t="str">
        <f>IF(IO_Master!G46="","",IO_Master!G46)</f>
        <v>OUT</v>
      </c>
      <c r="G42" t="str">
        <f>IF(IO_Master!H46="","",IO_Master!H46)</f>
        <v>7i97T</v>
      </c>
      <c r="H42" t="str">
        <f>IF(IO_Master!I46="","",IO_Master!I46)</f>
        <v>TB6</v>
      </c>
      <c r="I42" t="str">
        <f>IF(IO_Master!J46="","",IO_Master!J46)</f>
        <v>Spare OUT</v>
      </c>
      <c r="J42" t="str">
        <f>IF(IO_Master!K46="","",IO_Master!K46)</f>
        <v>spindle-orient-cmd</v>
      </c>
      <c r="K42" t="str">
        <f>IF(IO_Master!L46="","",IO_Master!L46)</f>
        <v>FR-SX orient input or hydraulic orient circuit</v>
      </c>
      <c r="L42" t="str">
        <f>IF(IO_Master!M46="","",IO_Master!M46)</f>
        <v>Verify in cabinet</v>
      </c>
      <c r="M42" t="str">
        <f>IF(IO_Master!N46="","",IO_Master!N46)</f>
        <v>Needed for ATC depending on original design.</v>
      </c>
    </row>
    <row r="43" spans="1:13" x14ac:dyDescent="0.2">
      <c r="A43" t="str">
        <f>IF(IO_Master!B47="","",IO_Master!B47)</f>
        <v>CONTROL_READY_CHAIN</v>
      </c>
      <c r="B43" t="str">
        <f>IF(IO_Master!C47="","",IO_Master!C47)</f>
        <v/>
      </c>
      <c r="C43" t="str">
        <f>IF(IO_Master!D47="","",IO_Master!D47)</f>
        <v>Safety/control</v>
      </c>
      <c r="D43" t="str">
        <f>IF(IO_Master!E47="","",IO_Master!E47)</f>
        <v>Control ready output into original Mazak ready chain</v>
      </c>
      <c r="E43" t="str">
        <f>IF(IO_Master!F47="","",IO_Master!F47)</f>
        <v>TBD</v>
      </c>
      <c r="F43" t="str">
        <f>IF(IO_Master!G47="","",IO_Master!G47)</f>
        <v>OUT</v>
      </c>
      <c r="G43" t="str">
        <f>IF(IO_Master!H47="","",IO_Master!H47)</f>
        <v>7i97T</v>
      </c>
      <c r="H43" t="str">
        <f>IF(IO_Master!I47="","",IO_Master!I47)</f>
        <v>TB6</v>
      </c>
      <c r="I43" t="str">
        <f>IF(IO_Master!J47="","",IO_Master!J47)</f>
        <v>Spare OUT</v>
      </c>
      <c r="J43" t="str">
        <f>IF(IO_Master!K47="","",IO_Master!K47)</f>
        <v>control-ready</v>
      </c>
      <c r="K43" t="str">
        <f>IF(IO_Master!L47="","",IO_Master!L47)</f>
        <v>Original ready relay chain</v>
      </c>
      <c r="L43" t="str">
        <f>IF(IO_Master!M47="","",IO_Master!M47)</f>
        <v>Verify in cabinet</v>
      </c>
      <c r="M43" t="str">
        <f>IF(IO_Master!N47="","",IO_Master!N47)</f>
        <v/>
      </c>
    </row>
    <row r="44" spans="1:13" x14ac:dyDescent="0.2">
      <c r="A44" t="str">
        <f>IF(IO_Master!B48="","",IO_Master!B48)</f>
        <v>HYD_PUMP_CONTACTOR</v>
      </c>
      <c r="B44" t="str">
        <f>IF(IO_Master!C48="","",IO_Master!C48)</f>
        <v/>
      </c>
      <c r="C44" t="str">
        <f>IF(IO_Master!D48="","",IO_Master!D48)</f>
        <v>Hydraulic</v>
      </c>
      <c r="D44" t="str">
        <f>IF(IO_Master!E48="","",IO_Master!E48)</f>
        <v>Main hydraulic pump contactor</v>
      </c>
      <c r="E44" t="str">
        <f>IF(IO_Master!F48="","",IO_Master!F48)</f>
        <v>TBD</v>
      </c>
      <c r="F44" t="str">
        <f>IF(IO_Master!G48="","",IO_Master!G48)</f>
        <v>OUT</v>
      </c>
      <c r="G44" t="str">
        <f>IF(IO_Master!H48="","",IO_Master!H48)</f>
        <v>7i97T</v>
      </c>
      <c r="H44" t="str">
        <f>IF(IO_Master!I48="","",IO_Master!I48)</f>
        <v>TB6</v>
      </c>
      <c r="I44" t="str">
        <f>IF(IO_Master!J48="","",IO_Master!J48)</f>
        <v>Spare OUT</v>
      </c>
      <c r="J44" t="str">
        <f>IF(IO_Master!K48="","",IO_Master!K48)</f>
        <v>hyd-pump-on</v>
      </c>
      <c r="K44" t="str">
        <f>IF(IO_Master!L48="","",IO_Master!L48)</f>
        <v>Hydraulic pump contactor coil</v>
      </c>
      <c r="L44" t="str">
        <f>IF(IO_Master!M48="","",IO_Master!M48)</f>
        <v>Optional</v>
      </c>
      <c r="M44" t="str">
        <f>IF(IO_Master!N48="","",IO_Master!N48)</f>
        <v>Could stay hardwired/legacy.</v>
      </c>
    </row>
    <row r="45" spans="1:13" x14ac:dyDescent="0.2">
      <c r="A45" t="str">
        <f>IF(IO_Master!B49="","",IO_Master!B49)</f>
        <v>LUBE_PUMP</v>
      </c>
      <c r="B45" t="str">
        <f>IF(IO_Master!C49="","",IO_Master!C49)</f>
        <v/>
      </c>
      <c r="C45" t="str">
        <f>IF(IO_Master!D49="","",IO_Master!D49)</f>
        <v>Utility</v>
      </c>
      <c r="D45" t="str">
        <f>IF(IO_Master!E49="","",IO_Master!E49)</f>
        <v>Main lube pump if switched</v>
      </c>
      <c r="E45" t="str">
        <f>IF(IO_Master!F49="","",IO_Master!F49)</f>
        <v>TBD</v>
      </c>
      <c r="F45" t="str">
        <f>IF(IO_Master!G49="","",IO_Master!G49)</f>
        <v>OUT</v>
      </c>
      <c r="G45" t="str">
        <f>IF(IO_Master!H49="","",IO_Master!H49)</f>
        <v>7i97T</v>
      </c>
      <c r="H45" t="str">
        <f>IF(IO_Master!I49="","",IO_Master!I49)</f>
        <v>TB6</v>
      </c>
      <c r="I45" t="str">
        <f>IF(IO_Master!J49="","",IO_Master!J49)</f>
        <v>Spare OUT</v>
      </c>
      <c r="J45" t="str">
        <f>IF(IO_Master!K49="","",IO_Master!K49)</f>
        <v>lube-pump-on</v>
      </c>
      <c r="K45" t="str">
        <f>IF(IO_Master!L49="","",IO_Master!L49)</f>
        <v>Lube pump circuit</v>
      </c>
      <c r="L45" t="str">
        <f>IF(IO_Master!M49="","",IO_Master!M49)</f>
        <v>Optional</v>
      </c>
      <c r="M45" t="str">
        <f>IF(IO_Master!N49="","",IO_Master!N49)</f>
        <v>Only if not continuous/autonomous.</v>
      </c>
    </row>
    <row r="46" spans="1:13" x14ac:dyDescent="0.2">
      <c r="A46" t="str">
        <f>IF(IO_Master!B50="","",IO_Master!B50)</f>
        <v>TOOL_CLAMPED</v>
      </c>
      <c r="B46" t="str">
        <f>IF(IO_Master!C50="","",IO_Master!C50)</f>
        <v>PRS-9</v>
      </c>
      <c r="C46" t="str">
        <f>IF(IO_Master!D50="","",IO_Master!D50)</f>
        <v>ATC/tool clamp</v>
      </c>
      <c r="D46" t="str">
        <f>IF(IO_Master!E50="","",IO_Master!E50)</f>
        <v>Tool clamped sensor</v>
      </c>
      <c r="E46" t="str">
        <f>IF(IO_Master!F50="","",IO_Master!F50)</f>
        <v>NO assumed</v>
      </c>
      <c r="F46" t="str">
        <f>IF(IO_Master!G50="","",IO_Master!G50)</f>
        <v>IN</v>
      </c>
      <c r="G46" t="str">
        <f>IF(IO_Master!H50="","",IO_Master!H50)</f>
        <v>7i84</v>
      </c>
      <c r="H46" t="str">
        <f>IF(IO_Master!I50="","",IO_Master!I50)</f>
        <v>TB1</v>
      </c>
      <c r="I46" t="str">
        <f>IF(IO_Master!J50="","",IO_Master!J50)</f>
        <v>IN0</v>
      </c>
      <c r="J46" t="str">
        <f>IF(IO_Master!K50="","",IO_Master!K50)</f>
        <v>tool-clamped</v>
      </c>
      <c r="K46" t="str">
        <f>IF(IO_Master!L50="","",IO_Master!L50)</f>
        <v>Tool clamp prox</v>
      </c>
      <c r="L46" t="str">
        <f>IF(IO_Master!M50="","",IO_Master!M50)</f>
        <v>Confirmed from notes</v>
      </c>
      <c r="M46" t="str">
        <f>IF(IO_Master!N50="","",IO_Master!N50)</f>
        <v/>
      </c>
    </row>
    <row r="47" spans="1:13" x14ac:dyDescent="0.2">
      <c r="A47" t="str">
        <f>IF(IO_Master!B51="","",IO_Master!B51)</f>
        <v>TOOL_UNCLAMPED</v>
      </c>
      <c r="B47" t="str">
        <f>IF(IO_Master!C51="","",IO_Master!C51)</f>
        <v>PRS-8</v>
      </c>
      <c r="C47" t="str">
        <f>IF(IO_Master!D51="","",IO_Master!D51)</f>
        <v>ATC/tool clamp</v>
      </c>
      <c r="D47" t="str">
        <f>IF(IO_Master!E51="","",IO_Master!E51)</f>
        <v>Tool unclamped sensor</v>
      </c>
      <c r="E47" t="str">
        <f>IF(IO_Master!F51="","",IO_Master!F51)</f>
        <v>NO assumed</v>
      </c>
      <c r="F47" t="str">
        <f>IF(IO_Master!G51="","",IO_Master!G51)</f>
        <v>IN</v>
      </c>
      <c r="G47" t="str">
        <f>IF(IO_Master!H51="","",IO_Master!H51)</f>
        <v>7i84</v>
      </c>
      <c r="H47" t="str">
        <f>IF(IO_Master!I51="","",IO_Master!I51)</f>
        <v>TB1</v>
      </c>
      <c r="I47" t="str">
        <f>IF(IO_Master!J51="","",IO_Master!J51)</f>
        <v>IN1</v>
      </c>
      <c r="J47" t="str">
        <f>IF(IO_Master!K51="","",IO_Master!K51)</f>
        <v>tool-unclamped</v>
      </c>
      <c r="K47" t="str">
        <f>IF(IO_Master!L51="","",IO_Master!L51)</f>
        <v>Tool unclamp prox</v>
      </c>
      <c r="L47" t="str">
        <f>IF(IO_Master!M51="","",IO_Master!M51)</f>
        <v>Confirmed from notes</v>
      </c>
      <c r="M47" t="str">
        <f>IF(IO_Master!N51="","",IO_Master!N51)</f>
        <v/>
      </c>
    </row>
    <row r="48" spans="1:13" x14ac:dyDescent="0.2">
      <c r="A48" t="str">
        <f>IF(IO_Master!B52="","",IO_Master!B52)</f>
        <v>ATC_ZONE_Y</v>
      </c>
      <c r="B48" t="str">
        <f>IF(IO_Master!C52="","",IO_Master!C52)</f>
        <v/>
      </c>
      <c r="C48" t="str">
        <f>IF(IO_Master!D52="","",IO_Master!D52)</f>
        <v>ATC interlock</v>
      </c>
      <c r="D48" t="str">
        <f>IF(IO_Master!E52="","",IO_Master!E52)</f>
        <v>Y axis in tool-change zone</v>
      </c>
      <c r="E48" t="str">
        <f>IF(IO_Master!F52="","",IO_Master!F52)</f>
        <v>NO assumed</v>
      </c>
      <c r="F48" t="str">
        <f>IF(IO_Master!G52="","",IO_Master!G52)</f>
        <v>IN</v>
      </c>
      <c r="G48" t="str">
        <f>IF(IO_Master!H52="","",IO_Master!H52)</f>
        <v>7i84</v>
      </c>
      <c r="H48" t="str">
        <f>IF(IO_Master!I52="","",IO_Master!I52)</f>
        <v>TB1</v>
      </c>
      <c r="I48" t="str">
        <f>IF(IO_Master!J52="","",IO_Master!J52)</f>
        <v>IN2</v>
      </c>
      <c r="J48" t="str">
        <f>IF(IO_Master!K52="","",IO_Master!K52)</f>
        <v>atc-y-zone</v>
      </c>
      <c r="K48" t="str">
        <f>IF(IO_Master!L52="","",IO_Master!L52)</f>
        <v>Axis-zone prox if present</v>
      </c>
      <c r="L48" t="str">
        <f>IF(IO_Master!M52="","",IO_Master!M52)</f>
        <v>Verify in cabinet</v>
      </c>
      <c r="M48" t="str">
        <f>IF(IO_Master!N52="","",IO_Master!N52)</f>
        <v>May be software position only or separate switch.</v>
      </c>
    </row>
    <row r="49" spans="1:13" x14ac:dyDescent="0.2">
      <c r="A49" t="str">
        <f>IF(IO_Master!B53="","",IO_Master!B53)</f>
        <v>ATC_ZONE_Z</v>
      </c>
      <c r="B49" t="str">
        <f>IF(IO_Master!C53="","",IO_Master!C53)</f>
        <v/>
      </c>
      <c r="C49" t="str">
        <f>IF(IO_Master!D53="","",IO_Master!D53)</f>
        <v>ATC interlock</v>
      </c>
      <c r="D49" t="str">
        <f>IF(IO_Master!E53="","",IO_Master!E53)</f>
        <v>Z axis in tool-change zone</v>
      </c>
      <c r="E49" t="str">
        <f>IF(IO_Master!F53="","",IO_Master!F53)</f>
        <v>NO assumed</v>
      </c>
      <c r="F49" t="str">
        <f>IF(IO_Master!G53="","",IO_Master!G53)</f>
        <v>IN</v>
      </c>
      <c r="G49" t="str">
        <f>IF(IO_Master!H53="","",IO_Master!H53)</f>
        <v>7i84</v>
      </c>
      <c r="H49" t="str">
        <f>IF(IO_Master!I53="","",IO_Master!I53)</f>
        <v>TB1</v>
      </c>
      <c r="I49" t="str">
        <f>IF(IO_Master!J53="","",IO_Master!J53)</f>
        <v>IN3</v>
      </c>
      <c r="J49" t="str">
        <f>IF(IO_Master!K53="","",IO_Master!K53)</f>
        <v>atc-z-zone</v>
      </c>
      <c r="K49" t="str">
        <f>IF(IO_Master!L53="","",IO_Master!L53)</f>
        <v>Axis-zone prox if present</v>
      </c>
      <c r="L49" t="str">
        <f>IF(IO_Master!M53="","",IO_Master!M53)</f>
        <v>Verify in cabinet</v>
      </c>
      <c r="M49" t="str">
        <f>IF(IO_Master!N53="","",IO_Master!N53)</f>
        <v/>
      </c>
    </row>
    <row r="50" spans="1:13" x14ac:dyDescent="0.2">
      <c r="A50" t="str">
        <f>IF(IO_Master!B54="","",IO_Master!B54)</f>
        <v>MAG_IN_POSITION</v>
      </c>
      <c r="B50" t="str">
        <f>IF(IO_Master!C54="","",IO_Master!C54)</f>
        <v>PRS-13</v>
      </c>
      <c r="C50" t="str">
        <f>IF(IO_Master!D54="","",IO_Master!D54)</f>
        <v>Magazine</v>
      </c>
      <c r="D50" t="str">
        <f>IF(IO_Master!E54="","",IO_Master!E54)</f>
        <v>Magazine indexed/in-position</v>
      </c>
      <c r="E50" t="str">
        <f>IF(IO_Master!F54="","",IO_Master!F54)</f>
        <v>NO assumed</v>
      </c>
      <c r="F50" t="str">
        <f>IF(IO_Master!G54="","",IO_Master!G54)</f>
        <v>IN</v>
      </c>
      <c r="G50" t="str">
        <f>IF(IO_Master!H54="","",IO_Master!H54)</f>
        <v>7i84</v>
      </c>
      <c r="H50" t="str">
        <f>IF(IO_Master!I54="","",IO_Master!I54)</f>
        <v>TB1</v>
      </c>
      <c r="I50" t="str">
        <f>IF(IO_Master!J54="","",IO_Master!J54)</f>
        <v>IN4</v>
      </c>
      <c r="J50" t="str">
        <f>IF(IO_Master!K54="","",IO_Master!K54)</f>
        <v>mag-in-pos</v>
      </c>
      <c r="K50" t="str">
        <f>IF(IO_Master!L54="","",IO_Master!L54)</f>
        <v>Magazine in-position prox</v>
      </c>
      <c r="L50" t="str">
        <f>IF(IO_Master!M54="","",IO_Master!M54)</f>
        <v>Confirmed from notes</v>
      </c>
      <c r="M50" t="str">
        <f>IF(IO_Master!N54="","",IO_Master!N54)</f>
        <v/>
      </c>
    </row>
    <row r="51" spans="1:13" x14ac:dyDescent="0.2">
      <c r="A51" t="str">
        <f>IF(IO_Master!B55="","",IO_Master!B55)</f>
        <v>TOOL_BIT0</v>
      </c>
      <c r="B51" t="str">
        <f>IF(IO_Master!C55="","",IO_Master!C55)</f>
        <v>PRS-21</v>
      </c>
      <c r="C51" t="str">
        <f>IF(IO_Master!D55="","",IO_Master!D55)</f>
        <v>Magazine</v>
      </c>
      <c r="D51" t="str">
        <f>IF(IO_Master!E55="","",IO_Master!E55)</f>
        <v>Magazine tool code bit 0</v>
      </c>
      <c r="E51" t="str">
        <f>IF(IO_Master!F55="","",IO_Master!F55)</f>
        <v>NO assumed</v>
      </c>
      <c r="F51" t="str">
        <f>IF(IO_Master!G55="","",IO_Master!G55)</f>
        <v>IN</v>
      </c>
      <c r="G51" t="str">
        <f>IF(IO_Master!H55="","",IO_Master!H55)</f>
        <v>7i84</v>
      </c>
      <c r="H51" t="str">
        <f>IF(IO_Master!I55="","",IO_Master!I55)</f>
        <v>TB1</v>
      </c>
      <c r="I51" t="str">
        <f>IF(IO_Master!J55="","",IO_Master!J55)</f>
        <v>IN5</v>
      </c>
      <c r="J51" t="str">
        <f>IF(IO_Master!K55="","",IO_Master!K55)</f>
        <v>tool-code-0</v>
      </c>
      <c r="K51" t="str">
        <f>IF(IO_Master!L55="","",IO_Master!L55)</f>
        <v>Tool position prox</v>
      </c>
      <c r="L51" t="str">
        <f>IF(IO_Master!M55="","",IO_Master!M55)</f>
        <v>Confirmed from notes</v>
      </c>
      <c r="M51" t="str">
        <f>IF(IO_Master!N55="","",IO_Master!N55)</f>
        <v/>
      </c>
    </row>
    <row r="52" spans="1:13" x14ac:dyDescent="0.2">
      <c r="A52" t="str">
        <f>IF(IO_Master!B56="","",IO_Master!B56)</f>
        <v>TOOL_BIT1</v>
      </c>
      <c r="B52" t="str">
        <f>IF(IO_Master!C56="","",IO_Master!C56)</f>
        <v>PRS-22</v>
      </c>
      <c r="C52" t="str">
        <f>IF(IO_Master!D56="","",IO_Master!D56)</f>
        <v>Magazine</v>
      </c>
      <c r="D52" t="str">
        <f>IF(IO_Master!E56="","",IO_Master!E56)</f>
        <v>Magazine tool code bit 1</v>
      </c>
      <c r="E52" t="str">
        <f>IF(IO_Master!F56="","",IO_Master!F56)</f>
        <v>NO assumed</v>
      </c>
      <c r="F52" t="str">
        <f>IF(IO_Master!G56="","",IO_Master!G56)</f>
        <v>IN</v>
      </c>
      <c r="G52" t="str">
        <f>IF(IO_Master!H56="","",IO_Master!H56)</f>
        <v>7i84</v>
      </c>
      <c r="H52" t="str">
        <f>IF(IO_Master!I56="","",IO_Master!I56)</f>
        <v>TB1</v>
      </c>
      <c r="I52" t="str">
        <f>IF(IO_Master!J56="","",IO_Master!J56)</f>
        <v>IN6</v>
      </c>
      <c r="J52" t="str">
        <f>IF(IO_Master!K56="","",IO_Master!K56)</f>
        <v>tool-code-1</v>
      </c>
      <c r="K52" t="str">
        <f>IF(IO_Master!L56="","",IO_Master!L56)</f>
        <v>Tool position prox</v>
      </c>
      <c r="L52" t="str">
        <f>IF(IO_Master!M56="","",IO_Master!M56)</f>
        <v>Confirmed from notes</v>
      </c>
      <c r="M52" t="str">
        <f>IF(IO_Master!N56="","",IO_Master!N56)</f>
        <v/>
      </c>
    </row>
    <row r="53" spans="1:13" x14ac:dyDescent="0.2">
      <c r="A53" t="str">
        <f>IF(IO_Master!B57="","",IO_Master!B57)</f>
        <v>TOOL_BIT2</v>
      </c>
      <c r="B53" t="str">
        <f>IF(IO_Master!C57="","",IO_Master!C57)</f>
        <v>PRS-23</v>
      </c>
      <c r="C53" t="str">
        <f>IF(IO_Master!D57="","",IO_Master!D57)</f>
        <v>Magazine</v>
      </c>
      <c r="D53" t="str">
        <f>IF(IO_Master!E57="","",IO_Master!E57)</f>
        <v>Magazine tool code bit 2</v>
      </c>
      <c r="E53" t="str">
        <f>IF(IO_Master!F57="","",IO_Master!F57)</f>
        <v>NO assumed</v>
      </c>
      <c r="F53" t="str">
        <f>IF(IO_Master!G57="","",IO_Master!G57)</f>
        <v>IN</v>
      </c>
      <c r="G53" t="str">
        <f>IF(IO_Master!H57="","",IO_Master!H57)</f>
        <v>7i84</v>
      </c>
      <c r="H53" t="str">
        <f>IF(IO_Master!I57="","",IO_Master!I57)</f>
        <v>TB1</v>
      </c>
      <c r="I53" t="str">
        <f>IF(IO_Master!J57="","",IO_Master!J57)</f>
        <v>IN7</v>
      </c>
      <c r="J53" t="str">
        <f>IF(IO_Master!K57="","",IO_Master!K57)</f>
        <v>tool-code-2</v>
      </c>
      <c r="K53" t="str">
        <f>IF(IO_Master!L57="","",IO_Master!L57)</f>
        <v>Tool position prox</v>
      </c>
      <c r="L53" t="str">
        <f>IF(IO_Master!M57="","",IO_Master!M57)</f>
        <v>Confirmed from notes</v>
      </c>
      <c r="M53" t="str">
        <f>IF(IO_Master!N57="","",IO_Master!N57)</f>
        <v/>
      </c>
    </row>
    <row r="54" spans="1:13" x14ac:dyDescent="0.2">
      <c r="A54" t="str">
        <f>IF(IO_Master!B58="","",IO_Master!B58)</f>
        <v>TOOL_BIT3</v>
      </c>
      <c r="B54" t="str">
        <f>IF(IO_Master!C58="","",IO_Master!C58)</f>
        <v>PRS-24</v>
      </c>
      <c r="C54" t="str">
        <f>IF(IO_Master!D58="","",IO_Master!D58)</f>
        <v>Magazine</v>
      </c>
      <c r="D54" t="str">
        <f>IF(IO_Master!E58="","",IO_Master!E58)</f>
        <v>Magazine tool code bit 3</v>
      </c>
      <c r="E54" t="str">
        <f>IF(IO_Master!F58="","",IO_Master!F58)</f>
        <v>NO assumed</v>
      </c>
      <c r="F54" t="str">
        <f>IF(IO_Master!G58="","",IO_Master!G58)</f>
        <v>IN</v>
      </c>
      <c r="G54" t="str">
        <f>IF(IO_Master!H58="","",IO_Master!H58)</f>
        <v>7i84</v>
      </c>
      <c r="H54" t="str">
        <f>IF(IO_Master!I58="","",IO_Master!I58)</f>
        <v>TB1</v>
      </c>
      <c r="I54" t="str">
        <f>IF(IO_Master!J58="","",IO_Master!J58)</f>
        <v>IN8</v>
      </c>
      <c r="J54" t="str">
        <f>IF(IO_Master!K58="","",IO_Master!K58)</f>
        <v>tool-code-3</v>
      </c>
      <c r="K54" t="str">
        <f>IF(IO_Master!L58="","",IO_Master!L58)</f>
        <v>Tool position prox</v>
      </c>
      <c r="L54" t="str">
        <f>IF(IO_Master!M58="","",IO_Master!M58)</f>
        <v>Confirmed from notes</v>
      </c>
      <c r="M54" t="str">
        <f>IF(IO_Master!N58="","",IO_Master!N58)</f>
        <v/>
      </c>
    </row>
    <row r="55" spans="1:13" x14ac:dyDescent="0.2">
      <c r="A55" t="str">
        <f>IF(IO_Master!B59="","",IO_Master!B59)</f>
        <v>TOOL_BIT4</v>
      </c>
      <c r="B55" t="str">
        <f>IF(IO_Master!C59="","",IO_Master!C59)</f>
        <v>PRS-25</v>
      </c>
      <c r="C55" t="str">
        <f>IF(IO_Master!D59="","",IO_Master!D59)</f>
        <v>Magazine</v>
      </c>
      <c r="D55" t="str">
        <f>IF(IO_Master!E59="","",IO_Master!E59)</f>
        <v>Magazine tool code bit 4 if used</v>
      </c>
      <c r="E55" t="str">
        <f>IF(IO_Master!F59="","",IO_Master!F59)</f>
        <v>NO assumed</v>
      </c>
      <c r="F55" t="str">
        <f>IF(IO_Master!G59="","",IO_Master!G59)</f>
        <v>IN</v>
      </c>
      <c r="G55" t="str">
        <f>IF(IO_Master!H59="","",IO_Master!H59)</f>
        <v>7i84</v>
      </c>
      <c r="H55" t="str">
        <f>IF(IO_Master!I59="","",IO_Master!I59)</f>
        <v>TB1</v>
      </c>
      <c r="I55" t="str">
        <f>IF(IO_Master!J59="","",IO_Master!J59)</f>
        <v>IN9</v>
      </c>
      <c r="J55" t="str">
        <f>IF(IO_Master!K59="","",IO_Master!K59)</f>
        <v>tool-code-4</v>
      </c>
      <c r="K55" t="str">
        <f>IF(IO_Master!L59="","",IO_Master!L59)</f>
        <v>Tool position prox</v>
      </c>
      <c r="L55" t="str">
        <f>IF(IO_Master!M59="","",IO_Master!M59)</f>
        <v>Verify in cabinet</v>
      </c>
      <c r="M55" t="str">
        <f>IF(IO_Master!N59="","",IO_Master!N59)</f>
        <v>Depends on magazine tool count.</v>
      </c>
    </row>
    <row r="56" spans="1:13" x14ac:dyDescent="0.2">
      <c r="A56" t="str">
        <f>IF(IO_Master!B60="","",IO_Master!B60)</f>
        <v>COOLANT_LOW</v>
      </c>
      <c r="B56" t="str">
        <f>IF(IO_Master!C60="","",IO_Master!C60)</f>
        <v/>
      </c>
      <c r="C56" t="str">
        <f>IF(IO_Master!D60="","",IO_Master!D60)</f>
        <v>Coolant</v>
      </c>
      <c r="D56" t="str">
        <f>IF(IO_Master!E60="","",IO_Master!E60)</f>
        <v>Coolant tank low level</v>
      </c>
      <c r="E56" t="str">
        <f>IF(IO_Master!F60="","",IO_Master!F60)</f>
        <v>NO assumed</v>
      </c>
      <c r="F56" t="str">
        <f>IF(IO_Master!G60="","",IO_Master!G60)</f>
        <v>IN</v>
      </c>
      <c r="G56" t="str">
        <f>IF(IO_Master!H60="","",IO_Master!H60)</f>
        <v>7i84</v>
      </c>
      <c r="H56" t="str">
        <f>IF(IO_Master!I60="","",IO_Master!I60)</f>
        <v>TB1</v>
      </c>
      <c r="I56" t="str">
        <f>IF(IO_Master!J60="","",IO_Master!J60)</f>
        <v>IN10</v>
      </c>
      <c r="J56" t="str">
        <f>IF(IO_Master!K60="","",IO_Master!K60)</f>
        <v>coolant-low</v>
      </c>
      <c r="K56" t="str">
        <f>IF(IO_Master!L60="","",IO_Master!L60)</f>
        <v>Coolant tank switch if present</v>
      </c>
      <c r="L56" t="str">
        <f>IF(IO_Master!M60="","",IO_Master!M60)</f>
        <v>Optional</v>
      </c>
      <c r="M56" t="str">
        <f>IF(IO_Master!N60="","",IO_Master!N60)</f>
        <v/>
      </c>
    </row>
    <row r="57" spans="1:13" x14ac:dyDescent="0.2">
      <c r="A57" t="str">
        <f>IF(IO_Master!B61="","",IO_Master!B61)</f>
        <v>AIR_PRESS_OK</v>
      </c>
      <c r="B57" t="str">
        <f>IF(IO_Master!C61="","",IO_Master!C61)</f>
        <v/>
      </c>
      <c r="C57" t="str">
        <f>IF(IO_Master!D61="","",IO_Master!D61)</f>
        <v>Pneumatic</v>
      </c>
      <c r="D57" t="str">
        <f>IF(IO_Master!E61="","",IO_Master!E61)</f>
        <v>Shop air pressure OK</v>
      </c>
      <c r="E57" t="str">
        <f>IF(IO_Master!F61="","",IO_Master!F61)</f>
        <v>NO assumed</v>
      </c>
      <c r="F57" t="str">
        <f>IF(IO_Master!G61="","",IO_Master!G61)</f>
        <v>IN</v>
      </c>
      <c r="G57" t="str">
        <f>IF(IO_Master!H61="","",IO_Master!H61)</f>
        <v>7i84</v>
      </c>
      <c r="H57" t="str">
        <f>IF(IO_Master!I61="","",IO_Master!I61)</f>
        <v>TB1</v>
      </c>
      <c r="I57" t="str">
        <f>IF(IO_Master!J61="","",IO_Master!J61)</f>
        <v>IN11</v>
      </c>
      <c r="J57" t="str">
        <f>IF(IO_Master!K61="","",IO_Master!K61)</f>
        <v>air-ok</v>
      </c>
      <c r="K57" t="str">
        <f>IF(IO_Master!L61="","",IO_Master!L61)</f>
        <v>Air pressure switch</v>
      </c>
      <c r="L57" t="str">
        <f>IF(IO_Master!M61="","",IO_Master!M61)</f>
        <v>Verify in cabinet</v>
      </c>
      <c r="M57" t="str">
        <f>IF(IO_Master!N61="","",IO_Master!N61)</f>
        <v>Needed if air blast/tool functions depend on air.</v>
      </c>
    </row>
    <row r="58" spans="1:13" x14ac:dyDescent="0.2">
      <c r="A58" t="str">
        <f>IF(IO_Master!B62="","",IO_Master!B62)</f>
        <v>MAG_COVER_CLOSED</v>
      </c>
      <c r="B58" t="str">
        <f>IF(IO_Master!C62="","",IO_Master!C62)</f>
        <v/>
      </c>
      <c r="C58" t="str">
        <f>IF(IO_Master!D62="","",IO_Master!D62)</f>
        <v>Magazine</v>
      </c>
      <c r="D58" t="str">
        <f>IF(IO_Master!E62="","",IO_Master!E62)</f>
        <v>Magazine cover closed</v>
      </c>
      <c r="E58" t="str">
        <f>IF(IO_Master!F62="","",IO_Master!F62)</f>
        <v>TBD</v>
      </c>
      <c r="F58" t="str">
        <f>IF(IO_Master!G62="","",IO_Master!G62)</f>
        <v>IN</v>
      </c>
      <c r="G58" t="str">
        <f>IF(IO_Master!H62="","",IO_Master!H62)</f>
        <v>7i84</v>
      </c>
      <c r="H58" t="str">
        <f>IF(IO_Master!I62="","",IO_Master!I62)</f>
        <v>TB1</v>
      </c>
      <c r="I58" t="str">
        <f>IF(IO_Master!J62="","",IO_Master!J62)</f>
        <v>Spare IN</v>
      </c>
      <c r="J58" t="str">
        <f>IF(IO_Master!K62="","",IO_Master!K62)</f>
        <v>mag-cover-closed</v>
      </c>
      <c r="K58" t="str">
        <f>IF(IO_Master!L62="","",IO_Master!L62)</f>
        <v>Cover switch if present</v>
      </c>
      <c r="L58" t="str">
        <f>IF(IO_Master!M62="","",IO_Master!M62)</f>
        <v>Verify in cabinet</v>
      </c>
      <c r="M58" t="str">
        <f>IF(IO_Master!N62="","",IO_Master!N62)</f>
        <v/>
      </c>
    </row>
    <row r="59" spans="1:13" x14ac:dyDescent="0.2">
      <c r="A59" t="str">
        <f>IF(IO_Master!B63="","",IO_Master!B63)</f>
        <v>COOLANT_TOGGLE</v>
      </c>
      <c r="B59" t="str">
        <f>IF(IO_Master!C63="","",IO_Master!C63)</f>
        <v/>
      </c>
      <c r="C59" t="str">
        <f>IF(IO_Master!D63="","",IO_Master!D63)</f>
        <v>Panel</v>
      </c>
      <c r="D59" t="str">
        <f>IF(IO_Master!E63="","",IO_Master!E63)</f>
        <v>Coolant toggle button</v>
      </c>
      <c r="E59" t="str">
        <f>IF(IO_Master!F63="","",IO_Master!F63)</f>
        <v>NO momentary</v>
      </c>
      <c r="F59" t="str">
        <f>IF(IO_Master!G63="","",IO_Master!G63)</f>
        <v>IN</v>
      </c>
      <c r="G59" t="str">
        <f>IF(IO_Master!H63="","",IO_Master!H63)</f>
        <v>7i84</v>
      </c>
      <c r="H59" t="str">
        <f>IF(IO_Master!I63="","",IO_Master!I63)</f>
        <v>TB1</v>
      </c>
      <c r="I59" t="str">
        <f>IF(IO_Master!J63="","",IO_Master!J63)</f>
        <v>Spare IN</v>
      </c>
      <c r="J59" t="str">
        <f>IF(IO_Master!K63="","",IO_Master!K63)</f>
        <v>coolant-toggle</v>
      </c>
      <c r="K59" t="str">
        <f>IF(IO_Master!L63="","",IO_Master!L63)</f>
        <v>Operator panel</v>
      </c>
      <c r="L59" t="str">
        <f>IF(IO_Master!M63="","",IO_Master!M63)</f>
        <v>Optional</v>
      </c>
      <c r="M59" t="str">
        <f>IF(IO_Master!N63="","",IO_Master!N63)</f>
        <v/>
      </c>
    </row>
    <row r="60" spans="1:13" x14ac:dyDescent="0.2">
      <c r="A60" t="str">
        <f>IF(IO_Master!B64="","",IO_Master!B64)</f>
        <v>SPINDLE_OVERRIDE_CONTACTS</v>
      </c>
      <c r="B60" t="str">
        <f>IF(IO_Master!C64="","",IO_Master!C64)</f>
        <v/>
      </c>
      <c r="C60" t="str">
        <f>IF(IO_Master!D64="","",IO_Master!D64)</f>
        <v>Panel</v>
      </c>
      <c r="D60" t="str">
        <f>IF(IO_Master!E64="","",IO_Master!E64)</f>
        <v>Spindle override selector contacts</v>
      </c>
      <c r="E60" t="str">
        <f>IF(IO_Master!F64="","",IO_Master!F64)</f>
        <v>TBD</v>
      </c>
      <c r="F60" t="str">
        <f>IF(IO_Master!G64="","",IO_Master!G64)</f>
        <v>IN</v>
      </c>
      <c r="G60" t="str">
        <f>IF(IO_Master!H64="","",IO_Master!H64)</f>
        <v>7i84</v>
      </c>
      <c r="H60" t="str">
        <f>IF(IO_Master!I64="","",IO_Master!I64)</f>
        <v>TB1</v>
      </c>
      <c r="I60" t="str">
        <f>IF(IO_Master!J64="","",IO_Master!J64)</f>
        <v>Spare IN</v>
      </c>
      <c r="J60" t="str">
        <f>IF(IO_Master!K64="","",IO_Master!K64)</f>
        <v>spindle-override-sel</v>
      </c>
      <c r="K60" t="str">
        <f>IF(IO_Master!L64="","",IO_Master!L64)</f>
        <v>Operator panel</v>
      </c>
      <c r="L60" t="str">
        <f>IF(IO_Master!M64="","",IO_Master!M64)</f>
        <v>Optional</v>
      </c>
      <c r="M60" t="str">
        <f>IF(IO_Master!N64="","",IO_Master!N64)</f>
        <v>If analog/pot, not a simple DI.</v>
      </c>
    </row>
    <row r="61" spans="1:13" x14ac:dyDescent="0.2">
      <c r="A61" t="str">
        <f>IF(IO_Master!B65="","",IO_Master!B65)</f>
        <v>ATC_HOME_PB</v>
      </c>
      <c r="B61" t="str">
        <f>IF(IO_Master!C65="","",IO_Master!C65)</f>
        <v/>
      </c>
      <c r="C61" t="str">
        <f>IF(IO_Master!D65="","",IO_Master!D65)</f>
        <v>Panel/ATC</v>
      </c>
      <c r="D61" t="str">
        <f>IF(IO_Master!E65="","",IO_Master!E65)</f>
        <v>ATC home or magazine jog button</v>
      </c>
      <c r="E61" t="str">
        <f>IF(IO_Master!F65="","",IO_Master!F65)</f>
        <v>NO momentary</v>
      </c>
      <c r="F61" t="str">
        <f>IF(IO_Master!G65="","",IO_Master!G65)</f>
        <v>IN</v>
      </c>
      <c r="G61" t="str">
        <f>IF(IO_Master!H65="","",IO_Master!H65)</f>
        <v>7i84</v>
      </c>
      <c r="H61" t="str">
        <f>IF(IO_Master!I65="","",IO_Master!I65)</f>
        <v>TB1</v>
      </c>
      <c r="I61" t="str">
        <f>IF(IO_Master!J65="","",IO_Master!J65)</f>
        <v>Spare IN</v>
      </c>
      <c r="J61" t="str">
        <f>IF(IO_Master!K65="","",IO_Master!K65)</f>
        <v>atc-home-pb</v>
      </c>
      <c r="K61" t="str">
        <f>IF(IO_Master!L65="","",IO_Master!L65)</f>
        <v>Operator panel/custom button</v>
      </c>
      <c r="L61" t="str">
        <f>IF(IO_Master!M65="","",IO_Master!M65)</f>
        <v>Optional</v>
      </c>
      <c r="M61" t="str">
        <f>IF(IO_Master!N65="","",IO_Master!N65)</f>
        <v/>
      </c>
    </row>
    <row r="62" spans="1:13" x14ac:dyDescent="0.2">
      <c r="A62" t="str">
        <f>IF(IO_Master!B66="","",IO_Master!B66)</f>
        <v>CHIP_CONV_FAULT</v>
      </c>
      <c r="B62" t="str">
        <f>IF(IO_Master!C66="","",IO_Master!C66)</f>
        <v/>
      </c>
      <c r="C62" t="str">
        <f>IF(IO_Master!D66="","",IO_Master!D66)</f>
        <v>Chip handling</v>
      </c>
      <c r="D62" t="str">
        <f>IF(IO_Master!E66="","",IO_Master!E66)</f>
        <v>Chip conveyor overload/fault</v>
      </c>
      <c r="E62" t="str">
        <f>IF(IO_Master!F66="","",IO_Master!F66)</f>
        <v>TBD</v>
      </c>
      <c r="F62" t="str">
        <f>IF(IO_Master!G66="","",IO_Master!G66)</f>
        <v>IN</v>
      </c>
      <c r="G62" t="str">
        <f>IF(IO_Master!H66="","",IO_Master!H66)</f>
        <v>7i84</v>
      </c>
      <c r="H62" t="str">
        <f>IF(IO_Master!I66="","",IO_Master!I66)</f>
        <v>TB1</v>
      </c>
      <c r="I62" t="str">
        <f>IF(IO_Master!J66="","",IO_Master!J66)</f>
        <v>Spare IN</v>
      </c>
      <c r="J62" t="str">
        <f>IF(IO_Master!K66="","",IO_Master!K66)</f>
        <v>chip-conveyor-fault</v>
      </c>
      <c r="K62" t="str">
        <f>IF(IO_Master!L66="","",IO_Master!L66)</f>
        <v>Future conveyor overload</v>
      </c>
      <c r="L62" t="str">
        <f>IF(IO_Master!M66="","",IO_Master!M66)</f>
        <v>Optional</v>
      </c>
      <c r="M62" t="str">
        <f>IF(IO_Master!N66="","",IO_Master!N66)</f>
        <v>Future.</v>
      </c>
    </row>
    <row r="63" spans="1:13" x14ac:dyDescent="0.2">
      <c r="A63" t="str">
        <f>IF(IO_Master!B67="","",IO_Master!B67)</f>
        <v>TOOL_UNCLAMP_SOL</v>
      </c>
      <c r="B63" t="str">
        <f>IF(IO_Master!C67="","",IO_Master!C67)</f>
        <v>SOL-10</v>
      </c>
      <c r="C63" t="str">
        <f>IF(IO_Master!D67="","",IO_Master!D67)</f>
        <v>ATC/tool clamp</v>
      </c>
      <c r="D63" t="str">
        <f>IF(IO_Master!E67="","",IO_Master!E67)</f>
        <v>Tool unclamp solenoid</v>
      </c>
      <c r="E63" t="str">
        <f>IF(IO_Master!F67="","",IO_Master!F67)</f>
        <v>Active-high assumed</v>
      </c>
      <c r="F63" t="str">
        <f>IF(IO_Master!G67="","",IO_Master!G67)</f>
        <v>OUT</v>
      </c>
      <c r="G63" t="str">
        <f>IF(IO_Master!H67="","",IO_Master!H67)</f>
        <v>7i84</v>
      </c>
      <c r="H63" t="str">
        <f>IF(IO_Master!I67="","",IO_Master!I67)</f>
        <v>TB2</v>
      </c>
      <c r="I63" t="str">
        <f>IF(IO_Master!J67="","",IO_Master!J67)</f>
        <v>OUT0</v>
      </c>
      <c r="J63" t="str">
        <f>IF(IO_Master!K67="","",IO_Master!K67)</f>
        <v>tool-unclamp-sol</v>
      </c>
      <c r="K63" t="str">
        <f>IF(IO_Master!L67="","",IO_Master!L67)</f>
        <v>Hydraulic valve coil</v>
      </c>
      <c r="L63" t="str">
        <f>IF(IO_Master!M67="","",IO_Master!M67)</f>
        <v>Confirmed from notes</v>
      </c>
      <c r="M63" t="str">
        <f>IF(IO_Master!N67="","",IO_Master!N67)</f>
        <v>Verify coil voltage/current before direct output.</v>
      </c>
    </row>
    <row r="64" spans="1:13" x14ac:dyDescent="0.2">
      <c r="A64" t="str">
        <f>IF(IO_Master!B68="","",IO_Master!B68)</f>
        <v>MAG_CW_SOL</v>
      </c>
      <c r="B64" t="str">
        <f>IF(IO_Master!C68="","",IO_Master!C68)</f>
        <v>SOL-8A</v>
      </c>
      <c r="C64" t="str">
        <f>IF(IO_Master!D68="","",IO_Master!D68)</f>
        <v>Magazine</v>
      </c>
      <c r="D64" t="str">
        <f>IF(IO_Master!E68="","",IO_Master!E68)</f>
        <v>Magazine rotate CW/forward</v>
      </c>
      <c r="E64" t="str">
        <f>IF(IO_Master!F68="","",IO_Master!F68)</f>
        <v>Active-high assumed</v>
      </c>
      <c r="F64" t="str">
        <f>IF(IO_Master!G68="","",IO_Master!G68)</f>
        <v>OUT</v>
      </c>
      <c r="G64" t="str">
        <f>IF(IO_Master!H68="","",IO_Master!H68)</f>
        <v>7i84</v>
      </c>
      <c r="H64" t="str">
        <f>IF(IO_Master!I68="","",IO_Master!I68)</f>
        <v>TB2</v>
      </c>
      <c r="I64" t="str">
        <f>IF(IO_Master!J68="","",IO_Master!J68)</f>
        <v>OUT1</v>
      </c>
      <c r="J64" t="str">
        <f>IF(IO_Master!K68="","",IO_Master!K68)</f>
        <v>mag-cw-sol</v>
      </c>
      <c r="K64" t="str">
        <f>IF(IO_Master!L68="","",IO_Master!L68)</f>
        <v>Hydraulic valve coil</v>
      </c>
      <c r="L64" t="str">
        <f>IF(IO_Master!M68="","",IO_Master!M68)</f>
        <v>Confirmed from notes</v>
      </c>
      <c r="M64" t="str">
        <f>IF(IO_Master!N68="","",IO_Master!N68)</f>
        <v/>
      </c>
    </row>
    <row r="65" spans="1:13" x14ac:dyDescent="0.2">
      <c r="A65" t="str">
        <f>IF(IO_Master!B69="","",IO_Master!B69)</f>
        <v>MAG_CCW_SOL</v>
      </c>
      <c r="B65" t="str">
        <f>IF(IO_Master!C69="","",IO_Master!C69)</f>
        <v>SOL-8B</v>
      </c>
      <c r="C65" t="str">
        <f>IF(IO_Master!D69="","",IO_Master!D69)</f>
        <v>Magazine</v>
      </c>
      <c r="D65" t="str">
        <f>IF(IO_Master!E69="","",IO_Master!E69)</f>
        <v>Magazine rotate CCW/reverse</v>
      </c>
      <c r="E65" t="str">
        <f>IF(IO_Master!F69="","",IO_Master!F69)</f>
        <v>Active-high assumed</v>
      </c>
      <c r="F65" t="str">
        <f>IF(IO_Master!G69="","",IO_Master!G69)</f>
        <v>OUT</v>
      </c>
      <c r="G65" t="str">
        <f>IF(IO_Master!H69="","",IO_Master!H69)</f>
        <v>7i84</v>
      </c>
      <c r="H65" t="str">
        <f>IF(IO_Master!I69="","",IO_Master!I69)</f>
        <v>TB2</v>
      </c>
      <c r="I65" t="str">
        <f>IF(IO_Master!J69="","",IO_Master!J69)</f>
        <v>OUT2</v>
      </c>
      <c r="J65" t="str">
        <f>IF(IO_Master!K69="","",IO_Master!K69)</f>
        <v>mag-ccw-sol</v>
      </c>
      <c r="K65" t="str">
        <f>IF(IO_Master!L69="","",IO_Master!L69)</f>
        <v>Hydraulic valve coil</v>
      </c>
      <c r="L65" t="str">
        <f>IF(IO_Master!M69="","",IO_Master!M69)</f>
        <v>Confirmed from notes</v>
      </c>
      <c r="M65" t="str">
        <f>IF(IO_Master!N69="","",IO_Master!N69)</f>
        <v/>
      </c>
    </row>
    <row r="66" spans="1:13" x14ac:dyDescent="0.2">
      <c r="A66" t="str">
        <f>IF(IO_Master!B70="","",IO_Master!B70)</f>
        <v>MAG_COVER_OPEN</v>
      </c>
      <c r="B66" t="str">
        <f>IF(IO_Master!C70="","",IO_Master!C70)</f>
        <v>M15</v>
      </c>
      <c r="C66" t="str">
        <f>IF(IO_Master!D70="","",IO_Master!D70)</f>
        <v>Magazine</v>
      </c>
      <c r="D66" t="str">
        <f>IF(IO_Master!E70="","",IO_Master!E70)</f>
        <v>Magazine cover open solenoid</v>
      </c>
      <c r="E66" t="str">
        <f>IF(IO_Master!F70="","",IO_Master!F70)</f>
        <v>Active-high assumed</v>
      </c>
      <c r="F66" t="str">
        <f>IF(IO_Master!G70="","",IO_Master!G70)</f>
        <v>OUT</v>
      </c>
      <c r="G66" t="str">
        <f>IF(IO_Master!H70="","",IO_Master!H70)</f>
        <v>7i84</v>
      </c>
      <c r="H66" t="str">
        <f>IF(IO_Master!I70="","",IO_Master!I70)</f>
        <v>TB2</v>
      </c>
      <c r="I66" t="str">
        <f>IF(IO_Master!J70="","",IO_Master!J70)</f>
        <v>OUT3</v>
      </c>
      <c r="J66" t="str">
        <f>IF(IO_Master!K70="","",IO_Master!K70)</f>
        <v>mag-cover-open</v>
      </c>
      <c r="K66" t="str">
        <f>IF(IO_Master!L70="","",IO_Master!L70)</f>
        <v>Cover solenoid if separate</v>
      </c>
      <c r="L66" t="str">
        <f>IF(IO_Master!M70="","",IO_Master!M70)</f>
        <v>Verify in cabinet</v>
      </c>
      <c r="M66" t="str">
        <f>IF(IO_Master!N70="","",IO_Master!N70)</f>
        <v>Only if separate solenoid present.</v>
      </c>
    </row>
    <row r="67" spans="1:13" x14ac:dyDescent="0.2">
      <c r="A67" t="str">
        <f>IF(IO_Master!B71="","",IO_Master!B71)</f>
        <v>MAG_COVER_CLOSE</v>
      </c>
      <c r="B67" t="str">
        <f>IF(IO_Master!C71="","",IO_Master!C71)</f>
        <v>M16</v>
      </c>
      <c r="C67" t="str">
        <f>IF(IO_Master!D71="","",IO_Master!D71)</f>
        <v>Magazine</v>
      </c>
      <c r="D67" t="str">
        <f>IF(IO_Master!E71="","",IO_Master!E71)</f>
        <v>Magazine cover close solenoid</v>
      </c>
      <c r="E67" t="str">
        <f>IF(IO_Master!F71="","",IO_Master!F71)</f>
        <v>Active-high assumed</v>
      </c>
      <c r="F67" t="str">
        <f>IF(IO_Master!G71="","",IO_Master!G71)</f>
        <v>OUT</v>
      </c>
      <c r="G67" t="str">
        <f>IF(IO_Master!H71="","",IO_Master!H71)</f>
        <v>7i84</v>
      </c>
      <c r="H67" t="str">
        <f>IF(IO_Master!I71="","",IO_Master!I71)</f>
        <v>TB2</v>
      </c>
      <c r="I67" t="str">
        <f>IF(IO_Master!J71="","",IO_Master!J71)</f>
        <v>OUT4</v>
      </c>
      <c r="J67" t="str">
        <f>IF(IO_Master!K71="","",IO_Master!K71)</f>
        <v>mag-cover-close</v>
      </c>
      <c r="K67" t="str">
        <f>IF(IO_Master!L71="","",IO_Master!L71)</f>
        <v>Cover solenoid if separate</v>
      </c>
      <c r="L67" t="str">
        <f>IF(IO_Master!M71="","",IO_Master!M71)</f>
        <v>Verify in cabinet</v>
      </c>
      <c r="M67" t="str">
        <f>IF(IO_Master!N71="","",IO_Master!N71)</f>
        <v/>
      </c>
    </row>
    <row r="68" spans="1:13" x14ac:dyDescent="0.2">
      <c r="A68" t="str">
        <f>IF(IO_Master!B72="","",IO_Master!B72)</f>
        <v>FLOOD_COOLANT</v>
      </c>
      <c r="B68" t="str">
        <f>IF(IO_Master!C72="","",IO_Master!C72)</f>
        <v>M08</v>
      </c>
      <c r="C68" t="str">
        <f>IF(IO_Master!D72="","",IO_Master!D72)</f>
        <v>Coolant</v>
      </c>
      <c r="D68" t="str">
        <f>IF(IO_Master!E72="","",IO_Master!E72)</f>
        <v>Flood coolant pump contactor</v>
      </c>
      <c r="E68" t="str">
        <f>IF(IO_Master!F72="","",IO_Master!F72)</f>
        <v>Active-high assumed</v>
      </c>
      <c r="F68" t="str">
        <f>IF(IO_Master!G72="","",IO_Master!G72)</f>
        <v>OUT</v>
      </c>
      <c r="G68" t="str">
        <f>IF(IO_Master!H72="","",IO_Master!H72)</f>
        <v>7i84</v>
      </c>
      <c r="H68" t="str">
        <f>IF(IO_Master!I72="","",IO_Master!I72)</f>
        <v>TB2</v>
      </c>
      <c r="I68" t="str">
        <f>IF(IO_Master!J72="","",IO_Master!J72)</f>
        <v>OUT5</v>
      </c>
      <c r="J68" t="str">
        <f>IF(IO_Master!K72="","",IO_Master!K72)</f>
        <v>flood-coolant</v>
      </c>
      <c r="K68" t="str">
        <f>IF(IO_Master!L72="","",IO_Master!L72)</f>
        <v>Coolant contactor/relay</v>
      </c>
      <c r="L68" t="str">
        <f>IF(IO_Master!M72="","",IO_Master!M72)</f>
        <v>Confirmed from notes</v>
      </c>
      <c r="M68" t="str">
        <f>IF(IO_Master!N72="","",IO_Master!N72)</f>
        <v>May need interposing relay.</v>
      </c>
    </row>
    <row r="69" spans="1:13" x14ac:dyDescent="0.2">
      <c r="A69" t="str">
        <f>IF(IO_Master!B73="","",IO_Master!B73)</f>
        <v>MIST_COOLANT</v>
      </c>
      <c r="B69" t="str">
        <f>IF(IO_Master!C73="","",IO_Master!C73)</f>
        <v>M07</v>
      </c>
      <c r="C69" t="str">
        <f>IF(IO_Master!D73="","",IO_Master!D73)</f>
        <v>Coolant</v>
      </c>
      <c r="D69" t="str">
        <f>IF(IO_Master!E73="","",IO_Master!E73)</f>
        <v>Mist coolant valve</v>
      </c>
      <c r="E69" t="str">
        <f>IF(IO_Master!F73="","",IO_Master!F73)</f>
        <v>Active-high assumed</v>
      </c>
      <c r="F69" t="str">
        <f>IF(IO_Master!G73="","",IO_Master!G73)</f>
        <v>OUT</v>
      </c>
      <c r="G69" t="str">
        <f>IF(IO_Master!H73="","",IO_Master!H73)</f>
        <v>7i84</v>
      </c>
      <c r="H69" t="str">
        <f>IF(IO_Master!I73="","",IO_Master!I73)</f>
        <v>TB2</v>
      </c>
      <c r="I69" t="str">
        <f>IF(IO_Master!J73="","",IO_Master!J73)</f>
        <v>OUT6</v>
      </c>
      <c r="J69" t="str">
        <f>IF(IO_Master!K73="","",IO_Master!K73)</f>
        <v>mist-coolant</v>
      </c>
      <c r="K69" t="str">
        <f>IF(IO_Master!L73="","",IO_Master!L73)</f>
        <v>Mist valve if present</v>
      </c>
      <c r="L69" t="str">
        <f>IF(IO_Master!M73="","",IO_Master!M73)</f>
        <v>Optional</v>
      </c>
      <c r="M69" t="str">
        <f>IF(IO_Master!N73="","",IO_Master!N73)</f>
        <v/>
      </c>
    </row>
    <row r="70" spans="1:13" x14ac:dyDescent="0.2">
      <c r="A70" t="str">
        <f>IF(IO_Master!B74="","",IO_Master!B74)</f>
        <v>AIR_BLAST_1</v>
      </c>
      <c r="B70" t="str">
        <f>IF(IO_Master!C74="","",IO_Master!C74)</f>
        <v>M50</v>
      </c>
      <c r="C70" t="str">
        <f>IF(IO_Master!D74="","",IO_Master!D74)</f>
        <v>Air</v>
      </c>
      <c r="D70" t="str">
        <f>IF(IO_Master!E74="","",IO_Master!E74)</f>
        <v>Workpiece air blast 1</v>
      </c>
      <c r="E70" t="str">
        <f>IF(IO_Master!F74="","",IO_Master!F74)</f>
        <v>Active-high assumed</v>
      </c>
      <c r="F70" t="str">
        <f>IF(IO_Master!G74="","",IO_Master!G74)</f>
        <v>OUT</v>
      </c>
      <c r="G70" t="str">
        <f>IF(IO_Master!H74="","",IO_Master!H74)</f>
        <v>7i84</v>
      </c>
      <c r="H70" t="str">
        <f>IF(IO_Master!I74="","",IO_Master!I74)</f>
        <v>TB2</v>
      </c>
      <c r="I70" t="str">
        <f>IF(IO_Master!J74="","",IO_Master!J74)</f>
        <v>OUT7</v>
      </c>
      <c r="J70" t="str">
        <f>IF(IO_Master!K74="","",IO_Master!K74)</f>
        <v>air-blast-1</v>
      </c>
      <c r="K70" t="str">
        <f>IF(IO_Master!L74="","",IO_Master!L74)</f>
        <v>Air solenoid</v>
      </c>
      <c r="L70" t="str">
        <f>IF(IO_Master!M74="","",IO_Master!M74)</f>
        <v>Confirmed from notes</v>
      </c>
      <c r="M70" t="str">
        <f>IF(IO_Master!N74="","",IO_Master!N74)</f>
        <v/>
      </c>
    </row>
    <row r="71" spans="1:13" x14ac:dyDescent="0.2">
      <c r="A71" t="str">
        <f>IF(IO_Master!B75="","",IO_Master!B75)</f>
        <v>AIR_BLAST_2</v>
      </c>
      <c r="B71" t="str">
        <f>IF(IO_Master!C75="","",IO_Master!C75)</f>
        <v>M53</v>
      </c>
      <c r="C71" t="str">
        <f>IF(IO_Master!D75="","",IO_Master!D75)</f>
        <v>Air</v>
      </c>
      <c r="D71" t="str">
        <f>IF(IO_Master!E75="","",IO_Master!E75)</f>
        <v>Workpiece air blast 2</v>
      </c>
      <c r="E71" t="str">
        <f>IF(IO_Master!F75="","",IO_Master!F75)</f>
        <v>Active-high assumed</v>
      </c>
      <c r="F71" t="str">
        <f>IF(IO_Master!G75="","",IO_Master!G75)</f>
        <v>OUT</v>
      </c>
      <c r="G71" t="str">
        <f>IF(IO_Master!H75="","",IO_Master!H75)</f>
        <v>7i84</v>
      </c>
      <c r="H71" t="str">
        <f>IF(IO_Master!I75="","",IO_Master!I75)</f>
        <v>TB2</v>
      </c>
      <c r="I71" t="str">
        <f>IF(IO_Master!J75="","",IO_Master!J75)</f>
        <v>OUT8</v>
      </c>
      <c r="J71" t="str">
        <f>IF(IO_Master!K75="","",IO_Master!K75)</f>
        <v>air-blast-2</v>
      </c>
      <c r="K71" t="str">
        <f>IF(IO_Master!L75="","",IO_Master!L75)</f>
        <v>Air solenoid</v>
      </c>
      <c r="L71" t="str">
        <f>IF(IO_Master!M75="","",IO_Master!M75)</f>
        <v>Confirmed from notes</v>
      </c>
      <c r="M71" t="str">
        <f>IF(IO_Master!N75="","",IO_Master!N75)</f>
        <v/>
      </c>
    </row>
    <row r="72" spans="1:13" x14ac:dyDescent="0.2">
      <c r="A72" t="str">
        <f>IF(IO_Master!B76="","",IO_Master!B76)</f>
        <v>TAP_COOLANT</v>
      </c>
      <c r="B72" t="str">
        <f>IF(IO_Master!C76="","",IO_Master!C76)</f>
        <v>M52</v>
      </c>
      <c r="C72" t="str">
        <f>IF(IO_Master!D76="","",IO_Master!D76)</f>
        <v>Coolant</v>
      </c>
      <c r="D72" t="str">
        <f>IF(IO_Master!E76="","",IO_Master!E76)</f>
        <v>Tap coolant valve</v>
      </c>
      <c r="E72" t="str">
        <f>IF(IO_Master!F76="","",IO_Master!F76)</f>
        <v>Active-high assumed</v>
      </c>
      <c r="F72" t="str">
        <f>IF(IO_Master!G76="","",IO_Master!G76)</f>
        <v>OUT</v>
      </c>
      <c r="G72" t="str">
        <f>IF(IO_Master!H76="","",IO_Master!H76)</f>
        <v>7i84</v>
      </c>
      <c r="H72" t="str">
        <f>IF(IO_Master!I76="","",IO_Master!I76)</f>
        <v>TB2</v>
      </c>
      <c r="I72" t="str">
        <f>IF(IO_Master!J76="","",IO_Master!J76)</f>
        <v>OUT9</v>
      </c>
      <c r="J72" t="str">
        <f>IF(IO_Master!K76="","",IO_Master!K76)</f>
        <v>tap-coolant</v>
      </c>
      <c r="K72" t="str">
        <f>IF(IO_Master!L76="","",IO_Master!L76)</f>
        <v>Tap coolant valve if plumbed</v>
      </c>
      <c r="L72" t="str">
        <f>IF(IO_Master!M76="","",IO_Master!M76)</f>
        <v>Optional</v>
      </c>
      <c r="M72" t="str">
        <f>IF(IO_Master!N76="","",IO_Master!N76)</f>
        <v/>
      </c>
    </row>
    <row r="73" spans="1:13" x14ac:dyDescent="0.2">
      <c r="A73" t="str">
        <f>IF(IO_Master!B77="","",IO_Master!B77)</f>
        <v>WORK_LIGHT</v>
      </c>
      <c r="B73" t="str">
        <f>IF(IO_Master!C77="","",IO_Master!C77)</f>
        <v/>
      </c>
      <c r="C73" t="str">
        <f>IF(IO_Master!D77="","",IO_Master!D77)</f>
        <v>Utility</v>
      </c>
      <c r="D73" t="str">
        <f>IF(IO_Master!E77="","",IO_Master!E77)</f>
        <v>Work light</v>
      </c>
      <c r="E73" t="str">
        <f>IF(IO_Master!F77="","",IO_Master!F77)</f>
        <v>Active-high assumed</v>
      </c>
      <c r="F73" t="str">
        <f>IF(IO_Master!G77="","",IO_Master!G77)</f>
        <v>OUT</v>
      </c>
      <c r="G73" t="str">
        <f>IF(IO_Master!H77="","",IO_Master!H77)</f>
        <v>7i84</v>
      </c>
      <c r="H73" t="str">
        <f>IF(IO_Master!I77="","",IO_Master!I77)</f>
        <v>TB2</v>
      </c>
      <c r="I73" t="str">
        <f>IF(IO_Master!J77="","",IO_Master!J77)</f>
        <v>OUT10</v>
      </c>
      <c r="J73" t="str">
        <f>IF(IO_Master!K77="","",IO_Master!K77)</f>
        <v>work-light</v>
      </c>
      <c r="K73" t="str">
        <f>IF(IO_Master!L77="","",IO_Master!L77)</f>
        <v>Work light circuit</v>
      </c>
      <c r="L73" t="str">
        <f>IF(IO_Master!M77="","",IO_Master!M77)</f>
        <v>Optional</v>
      </c>
      <c r="M73" t="str">
        <f>IF(IO_Master!N77="","",IO_Master!N77)</f>
        <v/>
      </c>
    </row>
    <row r="74" spans="1:13" x14ac:dyDescent="0.2">
      <c r="A74" t="str">
        <f>IF(IO_Master!B78="","",IO_Master!B78)</f>
        <v>CHIP_CONVEYOR_ON</v>
      </c>
      <c r="B74" t="str">
        <f>IF(IO_Master!C78="","",IO_Master!C78)</f>
        <v/>
      </c>
      <c r="C74" t="str">
        <f>IF(IO_Master!D78="","",IO_Master!D78)</f>
        <v>Chip handling</v>
      </c>
      <c r="D74" t="str">
        <f>IF(IO_Master!E78="","",IO_Master!E78)</f>
        <v>Chip conveyor on/off</v>
      </c>
      <c r="E74" t="str">
        <f>IF(IO_Master!F78="","",IO_Master!F78)</f>
        <v>Active-high assumed</v>
      </c>
      <c r="F74" t="str">
        <f>IF(IO_Master!G78="","",IO_Master!G78)</f>
        <v>OUT</v>
      </c>
      <c r="G74" t="str">
        <f>IF(IO_Master!H78="","",IO_Master!H78)</f>
        <v>7i84</v>
      </c>
      <c r="H74" t="str">
        <f>IF(IO_Master!I78="","",IO_Master!I78)</f>
        <v>TB2</v>
      </c>
      <c r="I74" t="str">
        <f>IF(IO_Master!J78="","",IO_Master!J78)</f>
        <v>Spare OUT</v>
      </c>
      <c r="J74" t="str">
        <f>IF(IO_Master!K78="","",IO_Master!K78)</f>
        <v>chip-conveyor-on</v>
      </c>
      <c r="K74" t="str">
        <f>IF(IO_Master!L78="","",IO_Master!L78)</f>
        <v>Future conveyor contactor</v>
      </c>
      <c r="L74" t="str">
        <f>IF(IO_Master!M78="","",IO_Master!M78)</f>
        <v>Optional</v>
      </c>
      <c r="M74" t="str">
        <f>IF(IO_Master!N78="","",IO_Master!N78)</f>
        <v>Future.</v>
      </c>
    </row>
    <row r="75" spans="1:13" x14ac:dyDescent="0.2">
      <c r="A75" t="str">
        <f>IF(IO_Master!B79="","",IO_Master!B79)</f>
        <v>STACK_LIGHT_GREEN</v>
      </c>
      <c r="B75" t="str">
        <f>IF(IO_Master!C79="","",IO_Master!C79)</f>
        <v/>
      </c>
      <c r="C75" t="str">
        <f>IF(IO_Master!D79="","",IO_Master!D79)</f>
        <v>Indicator</v>
      </c>
      <c r="D75" t="str">
        <f>IF(IO_Master!E79="","",IO_Master!E79)</f>
        <v>Green stack light</v>
      </c>
      <c r="E75" t="str">
        <f>IF(IO_Master!F79="","",IO_Master!F79)</f>
        <v>Active-high assumed</v>
      </c>
      <c r="F75" t="str">
        <f>IF(IO_Master!G79="","",IO_Master!G79)</f>
        <v>OUT</v>
      </c>
      <c r="G75" t="str">
        <f>IF(IO_Master!H79="","",IO_Master!H79)</f>
        <v>7i84</v>
      </c>
      <c r="H75" t="str">
        <f>IF(IO_Master!I79="","",IO_Master!I79)</f>
        <v>TB2</v>
      </c>
      <c r="I75" t="str">
        <f>IF(IO_Master!J79="","",IO_Master!J79)</f>
        <v>Spare OUT</v>
      </c>
      <c r="J75" t="str">
        <f>IF(IO_Master!K79="","",IO_Master!K79)</f>
        <v>stack-green</v>
      </c>
      <c r="K75" t="str">
        <f>IF(IO_Master!L79="","",IO_Master!L79)</f>
        <v>Future stack light</v>
      </c>
      <c r="L75" t="str">
        <f>IF(IO_Master!M79="","",IO_Master!M79)</f>
        <v>Optional</v>
      </c>
      <c r="M75" t="str">
        <f>IF(IO_Master!N79="","",IO_Master!N79)</f>
        <v>Future.</v>
      </c>
    </row>
    <row r="76" spans="1:13" x14ac:dyDescent="0.2">
      <c r="A76" t="str">
        <f>IF(IO_Master!B80="","",IO_Master!B80)</f>
        <v>STACK_LIGHT_RED</v>
      </c>
      <c r="B76" t="str">
        <f>IF(IO_Master!C80="","",IO_Master!C80)</f>
        <v/>
      </c>
      <c r="C76" t="str">
        <f>IF(IO_Master!D80="","",IO_Master!D80)</f>
        <v>Indicator</v>
      </c>
      <c r="D76" t="str">
        <f>IF(IO_Master!E80="","",IO_Master!E80)</f>
        <v>Red stack light</v>
      </c>
      <c r="E76" t="str">
        <f>IF(IO_Master!F80="","",IO_Master!F80)</f>
        <v>Active-high assumed</v>
      </c>
      <c r="F76" t="str">
        <f>IF(IO_Master!G80="","",IO_Master!G80)</f>
        <v>OUT</v>
      </c>
      <c r="G76" t="str">
        <f>IF(IO_Master!H80="","",IO_Master!H80)</f>
        <v>7i84</v>
      </c>
      <c r="H76" t="str">
        <f>IF(IO_Master!I80="","",IO_Master!I80)</f>
        <v>TB2</v>
      </c>
      <c r="I76" t="str">
        <f>IF(IO_Master!J80="","",IO_Master!J80)</f>
        <v>Spare OUT</v>
      </c>
      <c r="J76" t="str">
        <f>IF(IO_Master!K80="","",IO_Master!K80)</f>
        <v>stack-red</v>
      </c>
      <c r="K76" t="str">
        <f>IF(IO_Master!L80="","",IO_Master!L80)</f>
        <v>Future stack light</v>
      </c>
      <c r="L76" t="str">
        <f>IF(IO_Master!M80="","",IO_Master!M80)</f>
        <v>Optional</v>
      </c>
      <c r="M76" t="str">
        <f>IF(IO_Master!N80="","",IO_Master!N80)</f>
        <v>Future.</v>
      </c>
    </row>
    <row r="77" spans="1:13" x14ac:dyDescent="0.2">
      <c r="A77" t="str">
        <f>IF(IO_Master!B81="","",IO_Master!B81)</f>
        <v>P24_BUS</v>
      </c>
      <c r="B77" t="str">
        <f>IF(IO_Master!C81="","",IO_Master!C81)</f>
        <v>P24 / +24V</v>
      </c>
      <c r="C77" t="str">
        <f>IF(IO_Master!D81="","",IO_Master!D81)</f>
        <v>Power</v>
      </c>
      <c r="D77" t="str">
        <f>IF(IO_Master!E81="","",IO_Master!E81)</f>
        <v>24 VDC positive control bus</v>
      </c>
      <c r="E77" t="str">
        <f>IF(IO_Master!F81="","",IO_Master!F81)</f>
        <v>24 VDC</v>
      </c>
      <c r="F77" t="str">
        <f>IF(IO_Master!G81="","",IO_Master!G81)</f>
        <v>POWER</v>
      </c>
      <c r="G77" t="str">
        <f>IF(IO_Master!H81="","",IO_Master!H81)</f>
        <v>HR-11F-24</v>
      </c>
      <c r="H77" t="str">
        <f>IF(IO_Master!I81="","",IO_Master!I81)</f>
        <v>Terminal strip</v>
      </c>
      <c r="I77" t="str">
        <f>IF(IO_Master!J81="","",IO_Master!J81)</f>
        <v>+ / P24</v>
      </c>
      <c r="J77" t="str">
        <f>IF(IO_Master!K81="","",IO_Master!K81)</f>
        <v>p24-bus</v>
      </c>
      <c r="K77" t="str">
        <f>IF(IO_Master!L81="","",IO_Master!L81)</f>
        <v>Nemic-Lambda + output to Mazak I/O bus</v>
      </c>
      <c r="L77" t="str">
        <f>IF(IO_Master!M81="","",IO_Master!M81)</f>
        <v>Confirmed from notes</v>
      </c>
      <c r="M77" t="str">
        <f>IF(IO_Master!N81="","",IO_Master!N81)</f>
        <v>Verify actual wire numbers and distribution fusing.</v>
      </c>
    </row>
    <row r="78" spans="1:13" x14ac:dyDescent="0.2">
      <c r="A78" t="str">
        <f>IF(IO_Master!B82="","",IO_Master!B82)</f>
        <v>G24_BUS</v>
      </c>
      <c r="B78" t="str">
        <f>IF(IO_Master!C82="","",IO_Master!C82)</f>
        <v>G24 / 0V</v>
      </c>
      <c r="C78" t="str">
        <f>IF(IO_Master!D82="","",IO_Master!D82)</f>
        <v>Power</v>
      </c>
      <c r="D78" t="str">
        <f>IF(IO_Master!E82="","",IO_Master!E82)</f>
        <v>24 VDC common/return bus</v>
      </c>
      <c r="E78" t="str">
        <f>IF(IO_Master!F82="","",IO_Master!F82)</f>
        <v>0 VDC</v>
      </c>
      <c r="F78" t="str">
        <f>IF(IO_Master!G82="","",IO_Master!G82)</f>
        <v>POWER</v>
      </c>
      <c r="G78" t="str">
        <f>IF(IO_Master!H82="","",IO_Master!H82)</f>
        <v>HR-11F-24</v>
      </c>
      <c r="H78" t="str">
        <f>IF(IO_Master!I82="","",IO_Master!I82)</f>
        <v>Terminal strip</v>
      </c>
      <c r="I78" t="str">
        <f>IF(IO_Master!J82="","",IO_Master!J82)</f>
        <v>- / G24</v>
      </c>
      <c r="J78" t="str">
        <f>IF(IO_Master!K82="","",IO_Master!K82)</f>
        <v>g24-bus</v>
      </c>
      <c r="K78" t="str">
        <f>IF(IO_Master!L82="","",IO_Master!L82)</f>
        <v>Nemic-Lambda - output to Mazak I/O bus</v>
      </c>
      <c r="L78" t="str">
        <f>IF(IO_Master!M82="","",IO_Master!M82)</f>
        <v>Confirmed from notes</v>
      </c>
      <c r="M78" t="str">
        <f>IF(IO_Master!N82="","",IO_Master!N82)</f>
        <v>Keep returns referenced to original star/common point.</v>
      </c>
    </row>
    <row r="79" spans="1:13" x14ac:dyDescent="0.2">
      <c r="A79" t="str">
        <f>IF(IO_Master!B83="","",IO_Master!B83)</f>
        <v>HR24_REMOTE_SENSE_PLUS</v>
      </c>
      <c r="B79" t="str">
        <f>IF(IO_Master!C83="","",IO_Master!C83)</f>
        <v>+S</v>
      </c>
      <c r="C79" t="str">
        <f>IF(IO_Master!D83="","",IO_Master!D83)</f>
        <v>Power</v>
      </c>
      <c r="D79" t="str">
        <f>IF(IO_Master!E83="","",IO_Master!E83)</f>
        <v>24 V remote sense plus</v>
      </c>
      <c r="E79" t="str">
        <f>IF(IO_Master!F83="","",IO_Master!F83)</f>
        <v>Sense</v>
      </c>
      <c r="F79" t="str">
        <f>IF(IO_Master!G83="","",IO_Master!G83)</f>
        <v>POWER</v>
      </c>
      <c r="G79" t="str">
        <f>IF(IO_Master!H83="","",IO_Master!H83)</f>
        <v>HR-11F-24</v>
      </c>
      <c r="H79" t="str">
        <f>IF(IO_Master!I83="","",IO_Master!I83)</f>
        <v>PSU</v>
      </c>
      <c r="I79" t="str">
        <f>IF(IO_Master!J83="","",IO_Master!J83)</f>
        <v>+S</v>
      </c>
      <c r="J79" t="str">
        <f>IF(IO_Master!K83="","",IO_Master!K83)</f>
        <v/>
      </c>
      <c r="K79" t="str">
        <f>IF(IO_Master!L83="","",IO_Master!L83)</f>
        <v>Supply sense wire</v>
      </c>
      <c r="L79" t="str">
        <f>IF(IO_Master!M83="","",IO_Master!M83)</f>
        <v>Verify in cabinet</v>
      </c>
      <c r="M79" t="str">
        <f>IF(IO_Master!N83="","",IO_Master!N83)</f>
        <v>Often lands at P24 bus or jumpered to +.</v>
      </c>
    </row>
    <row r="80" spans="1:13" x14ac:dyDescent="0.2">
      <c r="A80" t="str">
        <f>IF(IO_Master!B84="","",IO_Master!B84)</f>
        <v>HR24_REMOTE_SENSE_MINUS</v>
      </c>
      <c r="B80" t="str">
        <f>IF(IO_Master!C84="","",IO_Master!C84)</f>
        <v>-S</v>
      </c>
      <c r="C80" t="str">
        <f>IF(IO_Master!D84="","",IO_Master!D84)</f>
        <v>Power</v>
      </c>
      <c r="D80" t="str">
        <f>IF(IO_Master!E84="","",IO_Master!E84)</f>
        <v>24 V remote sense minus</v>
      </c>
      <c r="E80" t="str">
        <f>IF(IO_Master!F84="","",IO_Master!F84)</f>
        <v>Sense</v>
      </c>
      <c r="F80" t="str">
        <f>IF(IO_Master!G84="","",IO_Master!G84)</f>
        <v>POWER</v>
      </c>
      <c r="G80" t="str">
        <f>IF(IO_Master!H84="","",IO_Master!H84)</f>
        <v>HR-11F-24</v>
      </c>
      <c r="H80" t="str">
        <f>IF(IO_Master!I84="","",IO_Master!I84)</f>
        <v>PSU</v>
      </c>
      <c r="I80" t="str">
        <f>IF(IO_Master!J84="","",IO_Master!J84)</f>
        <v>-S</v>
      </c>
      <c r="J80" t="str">
        <f>IF(IO_Master!K84="","",IO_Master!K84)</f>
        <v/>
      </c>
      <c r="K80" t="str">
        <f>IF(IO_Master!L84="","",IO_Master!L84)</f>
        <v>Supply sense wire</v>
      </c>
      <c r="L80" t="str">
        <f>IF(IO_Master!M84="","",IO_Master!M84)</f>
        <v>Verify in cabinet</v>
      </c>
      <c r="M80" t="str">
        <f>IF(IO_Master!N84="","",IO_Master!N84)</f>
        <v>Often lands at G24 bus or jumpered to -.</v>
      </c>
    </row>
    <row r="81" spans="1:13" x14ac:dyDescent="0.2">
      <c r="A81" t="str">
        <f>IF(IO_Master!B85="","",IO_Master!B85)</f>
        <v>HR24_REMOTE_CONTROL</v>
      </c>
      <c r="B81" t="str">
        <f>IF(IO_Master!C85="","",IO_Master!C85)</f>
        <v>TOG/CNT</v>
      </c>
      <c r="C81" t="str">
        <f>IF(IO_Master!D85="","",IO_Master!D85)</f>
        <v>Power</v>
      </c>
      <c r="D81" t="str">
        <f>IF(IO_Master!E85="","",IO_Master!E85)</f>
        <v>Remote on/off/control pair</v>
      </c>
      <c r="E81" t="str">
        <f>IF(IO_Master!F85="","",IO_Master!F85)</f>
        <v>TBD</v>
      </c>
      <c r="F81" t="str">
        <f>IF(IO_Master!G85="","",IO_Master!G85)</f>
        <v>LOGIC</v>
      </c>
      <c r="G81" t="str">
        <f>IF(IO_Master!H85="","",IO_Master!H85)</f>
        <v>HR-11F-24</v>
      </c>
      <c r="H81" t="str">
        <f>IF(IO_Master!I85="","",IO_Master!I85)</f>
        <v>PSU</v>
      </c>
      <c r="I81" t="str">
        <f>IF(IO_Master!J85="","",IO_Master!J85)</f>
        <v>TOG/CNT</v>
      </c>
      <c r="J81" t="str">
        <f>IF(IO_Master!K85="","",IO_Master!K85)</f>
        <v/>
      </c>
      <c r="K81" t="str">
        <f>IF(IO_Master!L85="","",IO_Master!L85)</f>
        <v>PSU control terminals</v>
      </c>
      <c r="L81" t="str">
        <f>IF(IO_Master!M85="","",IO_Master!M85)</f>
        <v>Verify in cabinet</v>
      </c>
      <c r="M81" t="str">
        <f>IF(IO_Master!N85="","",IO_Master!N85)</f>
        <v>Do not disturb until traced; may be in estop/ready chain.</v>
      </c>
    </row>
    <row r="82" spans="1:13" x14ac:dyDescent="0.2">
      <c r="A82" t="str">
        <f>IF(IO_Master!B86="","",IO_Master!B86)</f>
        <v>HR24_FRAME_GROUND</v>
      </c>
      <c r="B82" t="str">
        <f>IF(IO_Master!C86="","",IO_Master!C86)</f>
        <v>FG</v>
      </c>
      <c r="C82" t="str">
        <f>IF(IO_Master!D86="","",IO_Master!D86)</f>
        <v>Grounding</v>
      </c>
      <c r="D82" t="str">
        <f>IF(IO_Master!E86="","",IO_Master!E86)</f>
        <v>Frame ground / PE bond</v>
      </c>
      <c r="E82" t="str">
        <f>IF(IO_Master!F86="","",IO_Master!F86)</f>
        <v>PE</v>
      </c>
      <c r="F82" t="str">
        <f>IF(IO_Master!G86="","",IO_Master!G86)</f>
        <v>POWER</v>
      </c>
      <c r="G82" t="str">
        <f>IF(IO_Master!H86="","",IO_Master!H86)</f>
        <v>HR-11F-24</v>
      </c>
      <c r="H82" t="str">
        <f>IF(IO_Master!I86="","",IO_Master!I86)</f>
        <v>PSU</v>
      </c>
      <c r="I82" t="str">
        <f>IF(IO_Master!J86="","",IO_Master!J86)</f>
        <v>FG</v>
      </c>
      <c r="J82" t="str">
        <f>IF(IO_Master!K86="","",IO_Master!K86)</f>
        <v/>
      </c>
      <c r="K82" t="str">
        <f>IF(IO_Master!L86="","",IO_Master!L86)</f>
        <v>Cabinet PE bar</v>
      </c>
      <c r="L82" t="str">
        <f>IF(IO_Master!M86="","",IO_Master!M86)</f>
        <v>Confirmed from notes</v>
      </c>
      <c r="M82" t="str">
        <f>IF(IO_Master!N86="","",IO_Master!N86)</f>
        <v>Bond to cabinet protective earth.</v>
      </c>
    </row>
    <row r="83" spans="1:13" x14ac:dyDescent="0.2">
      <c r="A83" t="str">
        <f>IF(IO_Master!B87="","",IO_Master!B87)</f>
        <v>HR24_AC_LINE</v>
      </c>
      <c r="B83" t="str">
        <f>IF(IO_Master!C87="","",IO_Master!C87)</f>
        <v>L/N</v>
      </c>
      <c r="C83" t="str">
        <f>IF(IO_Master!D87="","",IO_Master!D87)</f>
        <v>Power</v>
      </c>
      <c r="D83" t="str">
        <f>IF(IO_Master!E87="","",IO_Master!E87)</f>
        <v>100-120 VAC input from control transformer</v>
      </c>
      <c r="E83" t="str">
        <f>IF(IO_Master!F87="","",IO_Master!F87)</f>
        <v>AC input</v>
      </c>
      <c r="F83" t="str">
        <f>IF(IO_Master!G87="","",IO_Master!G87)</f>
        <v>POWER</v>
      </c>
      <c r="G83" t="str">
        <f>IF(IO_Master!H87="","",IO_Master!H87)</f>
        <v>Existing Mazak</v>
      </c>
      <c r="H83" t="str">
        <f>IF(IO_Master!I87="","",IO_Master!I87)</f>
        <v>PSU</v>
      </c>
      <c r="I83" t="str">
        <f>IF(IO_Master!J87="","",IO_Master!J87)</f>
        <v>L/N</v>
      </c>
      <c r="J83" t="str">
        <f>IF(IO_Master!K87="","",IO_Master!K87)</f>
        <v/>
      </c>
      <c r="K83" t="str">
        <f>IF(IO_Master!L87="","",IO_Master!L87)</f>
        <v>Control transformer secondary</v>
      </c>
      <c r="L83" t="str">
        <f>IF(IO_Master!M87="","",IO_Master!M87)</f>
        <v>Confirmed from notes</v>
      </c>
      <c r="M83" t="str">
        <f>IF(IO_Master!N87="","",IO_Master!N87)</f>
        <v>Do not re-tap transformer without measurement.</v>
      </c>
    </row>
    <row r="84" spans="1:13" x14ac:dyDescent="0.2">
      <c r="A84" t="str">
        <f>IF(IO_Master!B88="","",IO_Master!B88)</f>
        <v>PENDANT_USB</v>
      </c>
      <c r="B84" t="str">
        <f>IF(IO_Master!C88="","",IO_Master!C88)</f>
        <v>WHB04B</v>
      </c>
      <c r="C84" t="str">
        <f>IF(IO_Master!D88="","",IO_Master!D88)</f>
        <v>Pendant</v>
      </c>
      <c r="D84" t="str">
        <f>IF(IO_Master!E88="","",IO_Master!E88)</f>
        <v>Wireless pendant USB receiver</v>
      </c>
      <c r="E84" t="str">
        <f>IF(IO_Master!F88="","",IO_Master!F88)</f>
        <v>USB</v>
      </c>
      <c r="F84" t="str">
        <f>IF(IO_Master!G88="","",IO_Master!G88)</f>
        <v>USB</v>
      </c>
      <c r="G84" t="str">
        <f>IF(IO_Master!H88="","",IO_Master!H88)</f>
        <v>LinuxCNC USB</v>
      </c>
      <c r="H84" t="str">
        <f>IF(IO_Master!I88="","",IO_Master!I88)</f>
        <v>PC USB</v>
      </c>
      <c r="I84" t="str">
        <f>IF(IO_Master!J88="","",IO_Master!J88)</f>
        <v>USB</v>
      </c>
      <c r="J84" t="str">
        <f>IF(IO_Master!K88="","",IO_Master!K88)</f>
        <v>pendant-*</v>
      </c>
      <c r="K84" t="str">
        <f>IF(IO_Master!L88="","",IO_Master!L88)</f>
        <v>Tower PC USB port</v>
      </c>
      <c r="L84" t="str">
        <f>IF(IO_Master!M88="","",IO_Master!M88)</f>
        <v>Optional</v>
      </c>
      <c r="M84" t="str">
        <f>IF(IO_Master!N88="","",IO_Master!N88)</f>
        <v>Use USB extension to move receiver near cabinet door.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README</vt:lpstr>
      <vt:lpstr>Architecture</vt:lpstr>
      <vt:lpstr>Mesa_Firmware</vt:lpstr>
      <vt:lpstr>Photo_Checklist</vt:lpstr>
      <vt:lpstr>Motion_Axes</vt:lpstr>
      <vt:lpstr>IO_Master</vt:lpstr>
      <vt:lpstr>7i97T_Axis_Safety</vt:lpstr>
      <vt:lpstr>7i84_ATC_Utility</vt:lpstr>
      <vt:lpstr>Analog_Encoder</vt:lpstr>
      <vt:lpstr>24V_Terminals</vt:lpstr>
      <vt:lpstr>Parts_List</vt:lpstr>
      <vt:lpstr>Wiring_Notes</vt:lpstr>
      <vt:lpstr>Unknowns_Measure</vt:lpstr>
      <vt:lpstr>Source_Refs</vt:lpstr>
      <vt:lpstr>Git_Export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Andy Gant</cp:lastModifiedBy>
  <cp:revision>0</cp:revision>
  <dcterms:created xsi:type="dcterms:W3CDTF">2026-06-02T02:10:38Z</dcterms:created>
  <dcterms:modified xsi:type="dcterms:W3CDTF">2026-07-30T06:33:41Z</dcterms:modified>
  <dc:language>en-US</dc:language>
</cp:coreProperties>
</file>