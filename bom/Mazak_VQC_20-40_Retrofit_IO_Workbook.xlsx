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3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rchitecture" sheetId="2" state="visible" r:id="rId4"/>
    <sheet name="Mesa_Firmware" sheetId="3" state="visible" r:id="rId5"/>
    <sheet name="Photo_Checklist" sheetId="4" state="visible" r:id="rId6"/>
    <sheet name="Motion_Axes" sheetId="5" state="visible" r:id="rId7"/>
    <sheet name="IO_Master" sheetId="6" state="visible" r:id="rId8"/>
    <sheet name="7i77_Axis_Safety" sheetId="7" state="visible" r:id="rId9"/>
    <sheet name="7i84_ATC_Utility" sheetId="8" state="visible" r:id="rId10"/>
    <sheet name="Analog_Encoder" sheetId="9" state="visible" r:id="rId11"/>
    <sheet name="24V_Terminals" sheetId="10" state="visible" r:id="rId12"/>
    <sheet name="Parts_List" sheetId="11" state="visible" r:id="rId13"/>
    <sheet name="Wiring_Notes" sheetId="12" state="visible" r:id="rId14"/>
    <sheet name="Unknowns_Measure" sheetId="13" state="visible" r:id="rId15"/>
    <sheet name="Source_Refs" sheetId="14" state="visible" r:id="rId16"/>
  </sheets>
  <definedNames>
    <definedName function="false" hidden="true" localSheetId="9" name="_xlnm._FilterDatabase" vbProcedure="false">24V_Terminals!$B$5:$J$19</definedName>
    <definedName function="false" hidden="true" localSheetId="6" name="_xlnm._FilterDatabase" vbProcedure="false">7i77_Axis_Safety!$B$5:$N$49</definedName>
    <definedName function="false" hidden="true" localSheetId="7" name="_xlnm._FilterDatabase" vbProcedure="false">7i84_ATC_Utility!$B$5:$N$36</definedName>
    <definedName function="false" hidden="true" localSheetId="8" name="_xlnm._FilterDatabase" vbProcedure="false">Analog_Encoder!$B$5:$K$17</definedName>
    <definedName function="false" hidden="true" localSheetId="5" name="_xlnm._FilterDatabase" vbProcedure="false">IO_Master!$B$5:$N$88</definedName>
    <definedName function="false" hidden="true" localSheetId="4" name="_xlnm._FilterDatabase" vbProcedure="false">Motion_Axes!$B$5:$K$11</definedName>
    <definedName function="false" hidden="true" localSheetId="10" name="_xlnm._FilterDatabase" vbProcedure="false">Parts_List!$B$5:$J$20</definedName>
    <definedName function="false" hidden="true" localSheetId="0" name="_xlnm._FilterDatabase" vbProcedure="false">README!$B$5:$C$15</definedName>
    <definedName function="false" hidden="true" localSheetId="13" name="_xlnm._FilterDatabase" vbProcedure="false">Source_Refs!$B$5:$F$14</definedName>
    <definedName function="false" hidden="true" localSheetId="12" name="_xlnm._FilterDatabase" vbProcedure="false">Unknowns_Measure!$B$5:$I$17</definedName>
    <definedName function="false" hidden="true" localSheetId="11" name="_xlnm._FilterDatabase" vbProcedure="false">Wiring_Notes!$B$5:$G$15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<sst xmlns="http://schemas.openxmlformats.org/spreadsheetml/2006/main" count="3015" uniqueCount="1299">
  <si>
    <t xml:space="preserve">Mazak VQC 20/40 Retrofit I/O Workbook</t>
  </si>
  <si>
    <t xml:space="preserve">Working extraction from the available Mesa/LinuxCNC retrofit notes and cabinet terminal discussion. Treat yellow/verify rows as planning placeholders until measured in the cabinet or confirmed from the Mazak manual.</t>
  </si>
  <si>
    <t xml:space="preserve">Sheet</t>
  </si>
  <si>
    <t xml:space="preserve">Use</t>
  </si>
  <si>
    <t xml:space="preserve">Motion_Axes</t>
  </si>
  <si>
    <t xml:space="preserve">Controllable axes, analog commands, encoder feedback, spindle motion requirements, and bring-up checks.</t>
  </si>
  <si>
    <t xml:space="preserve">IO_Master</t>
  </si>
  <si>
    <t xml:space="preserve">One master list of all extracted inputs, outputs, analog, encoder, power, USB, and mechanical/control requirements.</t>
  </si>
  <si>
    <t xml:space="preserve">7i77_Axis_Safety</t>
  </si>
  <si>
    <t xml:space="preserve">Critical motion/safety I/O intended for the 7i77: limits, homes, drive faults, enables, estop, lube/hydraulic OK, panel controls.</t>
  </si>
  <si>
    <t xml:space="preserve">7i84_ATC_Utility</t>
  </si>
  <si>
    <t xml:space="preserve">Bulk field I/O intended for a 7i84 near the green breakout PCB: ATC, magazine, hydraulic, coolant, air, utilities.</t>
  </si>
  <si>
    <t xml:space="preserve">Analog_Encoder</t>
  </si>
  <si>
    <t xml:space="preserve">7i77 analog output and encoder channel assignments for axes and spindle.</t>
  </si>
  <si>
    <t xml:space="preserve">24V_Terminals</t>
  </si>
  <si>
    <t xml:space="preserve">Nemic-Lambda HR-11F-24 and P24/G24 cabinet power/terminal notes from photo-based discussion.</t>
  </si>
  <si>
    <t xml:space="preserve">Parts_List</t>
  </si>
  <si>
    <t xml:space="preserve">Draft buy/planning list with quantities, priority, and verification dependencies.</t>
  </si>
  <si>
    <t xml:space="preserve">Wiring_Notes</t>
  </si>
  <si>
    <t xml:space="preserve">Cabinet work plan, landing strategy, shielding/grounding notes, and cut-over sequence.</t>
  </si>
  <si>
    <t xml:space="preserve">Unknowns_Measure</t>
  </si>
  <si>
    <t xml:space="preserve">Measurements and confirmations still required before final purchase, drilling, and wiring.</t>
  </si>
  <si>
    <t xml:space="preserve">Source_Refs</t>
  </si>
  <si>
    <t xml:space="preserve">Local source references and confidence notes used to build this workbook.</t>
  </si>
  <si>
    <t xml:space="preserve">Architecture</t>
  </si>
  <si>
    <t xml:space="preserve">Selected PCIe cabinet-tower architecture decision and its planning impact.</t>
  </si>
  <si>
    <t xml:space="preserve">Mesa_Firmware</t>
  </si>
  <si>
    <t xml:space="preserve">Firmware, bitfile, connector order, smart-serial, and actual HAL pin checklist for finalizing Mesa configuration.</t>
  </si>
  <si>
    <t xml:space="preserve">Photo_Checklist</t>
  </si>
  <si>
    <t xml:space="preserve">One-page cabinet photo checklist for Mesa ordering, firmware selection, and HAL pin finalization.</t>
  </si>
  <si>
    <t xml:space="preserve">Planning Counts</t>
  </si>
  <si>
    <t xml:space="preserve">Total IO_Master rows</t>
  </si>
  <si>
    <t xml:space="preserve">7i77 assigned rows</t>
  </si>
  <si>
    <t xml:space="preserve">7i84 assigned rows</t>
  </si>
  <si>
    <t xml:space="preserve">Rows needing verify/measure</t>
  </si>
  <si>
    <t xml:space="preserve">Parts marked buy now</t>
  </si>
  <si>
    <t xml:space="preserve">Parts blocked until verification</t>
  </si>
  <si>
    <t xml:space="preserve">Selected Control Architecture</t>
  </si>
  <si>
    <t xml:space="preserve">Decision locked for planning: tower PC inside the Mazak cabinet using PCIe Mesa hardware. Ethernet/laptop remains a fallback only if PCIe hardware or the tower PC proves unsuitable.</t>
  </si>
  <si>
    <t xml:space="preserve">Decision Area</t>
  </si>
  <si>
    <t xml:space="preserve">Selected Path</t>
  </si>
  <si>
    <t xml:space="preserve">Why</t>
  </si>
  <si>
    <t xml:space="preserve">Cabinet / Wiring Impact</t>
  </si>
  <si>
    <t xml:space="preserve">Workbook Impact</t>
  </si>
  <si>
    <t xml:space="preserve">Status</t>
  </si>
  <si>
    <t xml:space="preserve">Notes</t>
  </si>
  <si>
    <t xml:space="preserve">Control computer</t>
  </si>
  <si>
    <t xml:space="preserve">Tower PC mounted inside cabinet</t>
  </si>
  <si>
    <t xml:space="preserve">Best matches full cabinet retrofit and replaces Mazatrol rack space.</t>
  </si>
  <si>
    <t xml:space="preserve">Plan mounting tray, airflow, service clearance, SSD/power, and cable strain relief in former control bay.</t>
  </si>
  <si>
    <t xml:space="preserve">Parts_List, Wiring_Notes, Unknowns_Measure</t>
  </si>
  <si>
    <t xml:space="preserve">Selected</t>
  </si>
  <si>
    <t xml:space="preserve">Run LinuxCNC latency test on the actual tower before final commitment.</t>
  </si>
  <si>
    <t xml:space="preserve">Mesa host interface</t>
  </si>
  <si>
    <t xml:space="preserve">PCIe Mesa host card, likely 6i25 or current equivalent</t>
  </si>
  <si>
    <t xml:space="preserve">Avoids Ethernet tuning and external laptop dependency; direct bus connection to LinuxCNC PC.</t>
  </si>
  <si>
    <t xml:space="preserve">Short ribbon/IDC cables from PC to DIN/panel-mounted daughtercards.</t>
  </si>
  <si>
    <t xml:space="preserve">Parts_List, Analog_Encoder, signal skeleton</t>
  </si>
  <si>
    <t xml:space="preserve">Need exact card model and bitfile/firmware before final HAL pin names.</t>
  </si>
  <si>
    <t xml:space="preserve">Axis and spindle interface</t>
  </si>
  <si>
    <t xml:space="preserve">7i77-class analog servo / encoder card</t>
  </si>
  <si>
    <t xml:space="preserve">Matches X/Y/Z analog servo commands, spindle speed command, encoder feedback, and critical I/O.</t>
  </si>
  <si>
    <t xml:space="preserve">Mount near servo/spindle drive signal wiring; keep analog and encoder wiring short and shielded.</t>
  </si>
  <si>
    <t xml:space="preserve">Motion_Axes, 7i77_Axis_Safety, Analog_Encoder</t>
  </si>
  <si>
    <t xml:space="preserve">Verify ±10 V drive inputs, encoder type, and FR-SX speed reference before live motion.</t>
  </si>
  <si>
    <t xml:space="preserve">Bulk field I/O</t>
  </si>
  <si>
    <t xml:space="preserve">7i84 near existing green breakout PCB</t>
  </si>
  <si>
    <t xml:space="preserve">Keeps ATC, hydraulic, coolant, air, and utility wiring localized to the field wiring area.</t>
  </si>
  <si>
    <t xml:space="preserve">Mount 7i84 close to terminal/breakout area; use interposing relays for coils/loads as required.</t>
  </si>
  <si>
    <t xml:space="preserve">7i84_ATC_Utility, Wiring_Notes</t>
  </si>
  <si>
    <t xml:space="preserve">Verify smart-serial connection path and field power.</t>
  </si>
  <si>
    <t xml:space="preserve">Expansion</t>
  </si>
  <si>
    <t xml:space="preserve">7i85/7i85S optional</t>
  </si>
  <si>
    <t xml:space="preserve">Only needed for extra encoders, future 4th axis, handwheel/MPG, or stepgen expansion.</t>
  </si>
  <si>
    <t xml:space="preserve">Reserve space and possible second connector/cable route, but do not require for initial 3-axis + spindle bring-up.</t>
  </si>
  <si>
    <t xml:space="preserve">Parts_List, Analog_Encoder</t>
  </si>
  <si>
    <t xml:space="preserve">Optional</t>
  </si>
  <si>
    <t xml:space="preserve">Do not let optional expansion delay base motion/control bring-up.</t>
  </si>
  <si>
    <t xml:space="preserve">Pendant</t>
  </si>
  <si>
    <t xml:space="preserve">USB WHB04B-style pendant optional through LinuxCNC</t>
  </si>
  <si>
    <t xml:space="preserve">No Mesa I/O needed; useful for jogging and setup after base machine is safe.</t>
  </si>
  <si>
    <t xml:space="preserve">Use USB extension/receiver placement near cabinet door if installed.</t>
  </si>
  <si>
    <t xml:space="preserve">pendant_whb04b.hal</t>
  </si>
  <si>
    <t xml:space="preserve">Pendant E-stop must not replace hardware E-stop chain unless safety-rated and wired accordingly.</t>
  </si>
  <si>
    <t xml:space="preserve">Ethernet/laptop alternative</t>
  </si>
  <si>
    <t xml:space="preserve">Fallback only</t>
  </si>
  <si>
    <t xml:space="preserve">Adds dedicated NIC/static-IP/hm2_eth/laptop power-management complexity without much benefit for this cabinet-local retrofit.</t>
  </si>
  <si>
    <t xml:space="preserve">No cabinet plan based on laptop/Ethernet unless PCIe path is abandoned.</t>
  </si>
  <si>
    <t xml:space="preserve">Not primary</t>
  </si>
  <si>
    <t xml:space="preserve">Rejected</t>
  </si>
  <si>
    <t xml:space="preserve">Keep in mind only if tower fails latency or PCIe Mesa hardware is unavailable.</t>
  </si>
  <si>
    <t xml:space="preserve">Mesa Firmware and HAL Pin Checklist</t>
  </si>
  <si>
    <t xml:space="preserve">Fill this in before finalizing the HAL files. The goal is to make the Mesa firmware/bitfile, connector order, smart-serial devices, and LinuxCNC hm2 pin names match the actual hardware in the cabinet.</t>
  </si>
  <si>
    <t xml:space="preserve">Group</t>
  </si>
  <si>
    <t xml:space="preserve">Item to Find / Record</t>
  </si>
  <si>
    <t xml:space="preserve">Why It Matters</t>
  </si>
  <si>
    <t xml:space="preserve">Expected / Current Plan</t>
  </si>
  <si>
    <t xml:space="preserve">Your Value</t>
  </si>
  <si>
    <t xml:space="preserve">How to Get It</t>
  </si>
  <si>
    <t xml:space="preserve">Command / Place to Look</t>
  </si>
  <si>
    <t xml:space="preserve">Blocks</t>
  </si>
  <si>
    <t xml:space="preserve">Host card</t>
  </si>
  <si>
    <t xml:space="preserve">Exact Mesa host card model</t>
  </si>
  <si>
    <t xml:space="preserve">Firmware and HAL driver name depend on this.</t>
  </si>
  <si>
    <t xml:space="preserve">6i25 PCIe or current equivalent</t>
  </si>
  <si>
    <t xml:space="preserve">Read card label, invoice, Mesa order, or mesaflash detection.</t>
  </si>
  <si>
    <t xml:space="preserve">mesaflash --device 6i25 --readhmid</t>
  </si>
  <si>
    <t xml:space="preserve">Firmware choice, HAL hm2 device name</t>
  </si>
  <si>
    <t xml:space="preserve">Required</t>
  </si>
  <si>
    <t xml:space="preserve">If not 6i25, HAL names and bitfile target change.</t>
  </si>
  <si>
    <t xml:space="preserve">PCIe slot and PC recognized card</t>
  </si>
  <si>
    <t xml:space="preserve">Confirms the tower can see the Mesa card.</t>
  </si>
  <si>
    <t xml:space="preserve">Tower PC in Mazak cabinet</t>
  </si>
  <si>
    <t xml:space="preserve">Boot LinuxCNC PC and check PCI devices.</t>
  </si>
  <si>
    <t xml:space="preserve">lspci | grep -i mesa</t>
  </si>
  <si>
    <t xml:space="preserve">Basic hardware bring-up</t>
  </si>
  <si>
    <t xml:space="preserve">Run this before cabinet final wiring if possible.</t>
  </si>
  <si>
    <t xml:space="preserve">Daughtercard order</t>
  </si>
  <si>
    <t xml:space="preserve">6i25 connector P2 destination</t>
  </si>
  <si>
    <t xml:space="preserve">Connector order determines firmware pinout and HAL pin mapping.</t>
  </si>
  <si>
    <t xml:space="preserve">7i77 likely</t>
  </si>
  <si>
    <t xml:space="preserve">Trace first ribbon cable from 6i25 to daughtercard.</t>
  </si>
  <si>
    <t xml:space="preserve">Physical inspection / photos</t>
  </si>
  <si>
    <t xml:space="preserve">Firmware choice, wiring map</t>
  </si>
  <si>
    <t xml:space="preserve">Write card model and connector labels exactly.</t>
  </si>
  <si>
    <t xml:space="preserve">6i25 connector P3 destination</t>
  </si>
  <si>
    <t xml:space="preserve">Second connector may be unused, 7i85, second 7i77, or other expansion.</t>
  </si>
  <si>
    <t xml:space="preserve">Optional 7i85/7i85S or unused</t>
  </si>
  <si>
    <t xml:space="preserve">Trace second ribbon cable if installed.</t>
  </si>
  <si>
    <t xml:space="preserve">Firmware choice, expansion HAL</t>
  </si>
  <si>
    <t xml:space="preserve">Leave blank/unused if no second card on day one.</t>
  </si>
  <si>
    <t xml:space="preserve">7i77</t>
  </si>
  <si>
    <t xml:space="preserve">7i77 variant</t>
  </si>
  <si>
    <t xml:space="preserve">Output type matters: 7i77 sourcing vs 7i77D sinking outputs.</t>
  </si>
  <si>
    <t xml:space="preserve">7i77 or 7i77D TBD</t>
  </si>
  <si>
    <t xml:space="preserve">Read silkscreen/label on card.</t>
  </si>
  <si>
    <t xml:space="preserve">Card label / Mesa invoice</t>
  </si>
  <si>
    <t xml:space="preserve">Output wiring and field I/O logic</t>
  </si>
  <si>
    <t xml:space="preserve">Important for relay/coil common wiring.</t>
  </si>
  <si>
    <t xml:space="preserve">7i77 field power voltage</t>
  </si>
  <si>
    <t xml:space="preserve">Field I/O needs correct isolated power and common strategy.</t>
  </si>
  <si>
    <t xml:space="preserve">24 VDC P24/G24</t>
  </si>
  <si>
    <t xml:space="preserve">Measure field power terminals and confirm jumpers.</t>
  </si>
  <si>
    <t xml:space="preserve">Meter at 7i77 field power TB</t>
  </si>
  <si>
    <t xml:space="preserve">I/O wiring</t>
  </si>
  <si>
    <t xml:space="preserve">Do not assume the card is powered by ribbon cable for field I/O.</t>
  </si>
  <si>
    <t xml:space="preserve">Encoder input mode</t>
  </si>
  <si>
    <t xml:space="preserve">7i77 can handle differential or single-ended encoders; setting/wiring must match.</t>
  </si>
  <si>
    <t xml:space="preserve">Differential preferred / TBD</t>
  </si>
  <si>
    <t xml:space="preserve">Read encoder wiring and 7i77 manual; inspect jumpers/settings.</t>
  </si>
  <si>
    <t xml:space="preserve">Card manual + encoder measurements</t>
  </si>
  <si>
    <t xml:space="preserve">Axis feedback</t>
  </si>
  <si>
    <t xml:space="preserve">Confirm A/B/Z, shield, and encoder supply.</t>
  </si>
  <si>
    <t xml:space="preserve">Analog output scaling and enable behavior</t>
  </si>
  <si>
    <t xml:space="preserve">Drive command voltage and enable logic determine safe first motion.</t>
  </si>
  <si>
    <t xml:space="preserve">±10 V axis, spindle 0-10 V or ±10 V TBD</t>
  </si>
  <si>
    <t xml:space="preserve">Measure/check drive manuals and 7i77 analog TB wiring.</t>
  </si>
  <si>
    <t xml:space="preserve">Drive manuals + meter</t>
  </si>
  <si>
    <t xml:space="preserve">Axis/spindle motion</t>
  </si>
  <si>
    <t xml:space="preserve">Verify zero output before enabling drives.</t>
  </si>
  <si>
    <t xml:space="preserve">7i84</t>
  </si>
  <si>
    <t xml:space="preserve">7i84 connection path</t>
  </si>
  <si>
    <t xml:space="preserve">Determines smart-serial port and HAL pin names.</t>
  </si>
  <si>
    <t xml:space="preserve">7i84 on 7i77 RS-422 / smart-serial expansion</t>
  </si>
  <si>
    <t xml:space="preserve">Trace cable from 7i84 to 7i77/host card.</t>
  </si>
  <si>
    <t xml:space="preserve">Physical inspection</t>
  </si>
  <si>
    <t xml:space="preserve">7i84 HAL pin mapping</t>
  </si>
  <si>
    <t xml:space="preserve">Record exact port and cable route.</t>
  </si>
  <si>
    <t xml:space="preserve">7i84 variant</t>
  </si>
  <si>
    <t xml:space="preserve">Sourcing/sinking behavior and pin names may differ by variant.</t>
  </si>
  <si>
    <t xml:space="preserve">7i84 or 7i84D TBD</t>
  </si>
  <si>
    <t xml:space="preserve">Read card label and invoice.</t>
  </si>
  <si>
    <t xml:space="preserve">Field output wiring</t>
  </si>
  <si>
    <t xml:space="preserve">Important for solenoid/relay output strategy.</t>
  </si>
  <si>
    <t xml:space="preserve">7i84 field power and output load limits</t>
  </si>
  <si>
    <t xml:space="preserve">Protects Mesa outputs and decides interposing relays.</t>
  </si>
  <si>
    <t xml:space="preserve">24 V field I/O; relays likely for loads</t>
  </si>
  <si>
    <t xml:space="preserve">Measure field power and read 7i84 output ratings.</t>
  </si>
  <si>
    <t xml:space="preserve">Meter + card manual</t>
  </si>
  <si>
    <t xml:space="preserve">ATC/coolant/hydraulic outputs</t>
  </si>
  <si>
    <t xml:space="preserve">Measure each coil/contact load too.</t>
  </si>
  <si>
    <t xml:space="preserve">Optional 7i85</t>
  </si>
  <si>
    <t xml:space="preserve">Whether 7i85/7i85S is installed on day one</t>
  </si>
  <si>
    <t xml:space="preserve">Changes connector use and firmware needs.</t>
  </si>
  <si>
    <t xml:space="preserve">Optional / not required for base build</t>
  </si>
  <si>
    <t xml:space="preserve">Decide before ordering/flashing firmware.</t>
  </si>
  <si>
    <t xml:space="preserve">Parts decision</t>
  </si>
  <si>
    <t xml:space="preserve">Firmware choice</t>
  </si>
  <si>
    <t xml:space="preserve">Reserve space even if not installed initially.</t>
  </si>
  <si>
    <t xml:space="preserve">Firmware</t>
  </si>
  <si>
    <t xml:space="preserve">Exact Mesa bitfile / firmware name</t>
  </si>
  <si>
    <t xml:space="preserve">HAL pins come from the loaded bitfile.</t>
  </si>
  <si>
    <t xml:space="preserve">6i25 + 7i77 + 7i84 or 6i25 + 7i77-only starter</t>
  </si>
  <si>
    <t xml:space="preserve">Use Mesa firmware package/mesaflash list or Mesa support docs.</t>
  </si>
  <si>
    <t xml:space="preserve">mesaflash --device 6i25 --list</t>
  </si>
  <si>
    <t xml:space="preserve">Final HAL pin names</t>
  </si>
  <si>
    <t xml:space="preserve">Save a copy of the bitfile name and date.</t>
  </si>
  <si>
    <t xml:space="preserve">Read HMID after flashing</t>
  </si>
  <si>
    <t xml:space="preserve">This is the actual authority for available pins/functions.</t>
  </si>
  <si>
    <t xml:space="preserve">TBD</t>
  </si>
  <si>
    <t xml:space="preserve">Run readhmid and save output text.</t>
  </si>
  <si>
    <t xml:space="preserve">mesaflash --device 6i25 --readhmid &gt; mesa_readhmid.txt</t>
  </si>
  <si>
    <t xml:space="preserve">Share this output so HAL can be finalized.</t>
  </si>
  <si>
    <t xml:space="preserve">Firmware backup / restore plan</t>
  </si>
  <si>
    <t xml:space="preserve">Lets you recover if a bitfile is wrong.</t>
  </si>
  <si>
    <t xml:space="preserve">Save original/current if card not blank</t>
  </si>
  <si>
    <t xml:space="preserve">Read Mesa docs for backup if applicable; record current state.</t>
  </si>
  <si>
    <t xml:space="preserve">mesaflash documentation</t>
  </si>
  <si>
    <t xml:space="preserve">Safe firmware changes</t>
  </si>
  <si>
    <t xml:space="preserve">Recommended</t>
  </si>
  <si>
    <t xml:space="preserve">Do before flashing anything unknown.</t>
  </si>
  <si>
    <t xml:space="preserve">LinuxCNC</t>
  </si>
  <si>
    <t xml:space="preserve">hm2 HAL pin dump</t>
  </si>
  <si>
    <t xml:space="preserve">Final HAL must match the real hm2 pin names exactly.</t>
  </si>
  <si>
    <t xml:space="preserve">hm2_6i25.0... expected</t>
  </si>
  <si>
    <t xml:space="preserve">Load hostmot2/hm2_pci and dump pins after hardware is installed.</t>
  </si>
  <si>
    <t xml:space="preserve">halrun; loadrt hostmot2; loadrt hm2_pci config="..."; show pin hm2</t>
  </si>
  <si>
    <t xml:space="preserve">Final HAL files</t>
  </si>
  <si>
    <t xml:space="preserve">Save output to mesa_hal_pins.txt.</t>
  </si>
  <si>
    <t xml:space="preserve">Actual hm2 device name</t>
  </si>
  <si>
    <t xml:space="preserve">Could be hm2_5i25, hm2_6i25, etc. depending on card/driver.</t>
  </si>
  <si>
    <t xml:space="preserve">hm2_6i25.0</t>
  </si>
  <si>
    <t xml:space="preserve">Check HAL pin dump.</t>
  </si>
  <si>
    <t xml:space="preserve">halcmd show pin hm2</t>
  </si>
  <si>
    <t xml:space="preserve">All HAL net lines</t>
  </si>
  <si>
    <t xml:space="preserve">Replace placeholders in all HAL files.</t>
  </si>
  <si>
    <t xml:space="preserve">sserial_port_0 config string</t>
  </si>
  <si>
    <t xml:space="preserve">Needed to make 7i84 / serial expansion devices appear.</t>
  </si>
  <si>
    <t xml:space="preserve">000000 placeholder</t>
  </si>
  <si>
    <t xml:space="preserve">Determine from Mesa firmware and readhmid; test with halrun.</t>
  </si>
  <si>
    <t xml:space="preserve">loadrt hm2_pci config="... sserial_port_0=..."</t>
  </si>
  <si>
    <t xml:space="preserve">7i84 visibility</t>
  </si>
  <si>
    <t xml:space="preserve">Current skeleton uses placeholder only.</t>
  </si>
  <si>
    <t xml:space="preserve">Network fallback</t>
  </si>
  <si>
    <t xml:space="preserve">Ethernet Mesa not primary</t>
  </si>
  <si>
    <t xml:space="preserve">Documents rejected path so it does not pollute the main plan.</t>
  </si>
  <si>
    <t xml:space="preserve">No action unless abandoning PCIe path.</t>
  </si>
  <si>
    <t xml:space="preserve">N/A</t>
  </si>
  <si>
    <t xml:space="preserve">None for selected architecture</t>
  </si>
  <si>
    <t xml:space="preserve">Done</t>
  </si>
  <si>
    <t xml:space="preserve">Keep Ethernet notes out of main HAL unless architecture changes.</t>
  </si>
  <si>
    <t xml:space="preserve">Files to save</t>
  </si>
  <si>
    <t xml:space="preserve">mesa_readhmid.txt</t>
  </si>
  <si>
    <t xml:space="preserve">Captures firmware functions and pinout.</t>
  </si>
  <si>
    <t xml:space="preserve">Save in Mazak folder</t>
  </si>
  <si>
    <t xml:space="preserve">Redirect mesaflash output to a text file.</t>
  </si>
  <si>
    <t xml:space="preserve">HAL finalization</t>
  </si>
  <si>
    <t xml:space="preserve">Put this in OneDrive Mazak folder.</t>
  </si>
  <si>
    <t xml:space="preserve">mesa_hal_pins.txt</t>
  </si>
  <si>
    <t xml:space="preserve">Captures actual LinuxCNC HAL pin names.</t>
  </si>
  <si>
    <t xml:space="preserve">Run halcmd/halrun and redirect show pin output.</t>
  </si>
  <si>
    <t xml:space="preserve">halcmd show pin hm2 &gt; mesa_hal_pins.txt</t>
  </si>
  <si>
    <t xml:space="preserve">This is what I need to replace placeholders.</t>
  </si>
  <si>
    <t xml:space="preserve">Cabinet Photo Checklist for Mesa Ordering</t>
  </si>
  <si>
    <t xml:space="preserve">Take wide shots first, then readable close-ups with wire numbers and terminal labels. This checklist targets the details needed to confirm Mesa card selection, firmware, I/O wiring, and HAL pin mapping.</t>
  </si>
  <si>
    <t xml:space="preserve">Priority</t>
  </si>
  <si>
    <t xml:space="preserve">Photo / Area</t>
  </si>
  <si>
    <t xml:space="preserve">What to Capture</t>
  </si>
  <si>
    <t xml:space="preserve">Suggested File Name</t>
  </si>
  <si>
    <t xml:space="preserve">High</t>
  </si>
  <si>
    <t xml:space="preserve">Whole electrical cabinet</t>
  </si>
  <si>
    <t xml:space="preserve">Left, center, and right bays with doors open</t>
  </si>
  <si>
    <t xml:space="preserve">Confirms available space, PC location, wire duct, and card mounting areas.</t>
  </si>
  <si>
    <t xml:space="preserve">cabinet_wide_left_center_right_YYYY-MM-DD</t>
  </si>
  <si>
    <t xml:space="preserve">Take pulled-back shots before close-ups.</t>
  </si>
  <si>
    <t xml:space="preserve">Former Mazatrol rack / PC area</t>
  </si>
  <si>
    <t xml:space="preserve">Rack space, mounting rails, power, airflow path, door clearance</t>
  </si>
  <si>
    <t xml:space="preserve">Confirms tower PC fit and service clearance.</t>
  </si>
  <si>
    <t xml:space="preserve">mazatrol_rack_pc_area_YYYY-MM-DD</t>
  </si>
  <si>
    <t xml:space="preserve">Measure width/depth/height later.</t>
  </si>
  <si>
    <t xml:space="preserve">X/Y/Z servo amplifiers</t>
  </si>
  <si>
    <t xml:space="preserve">Drive labels, model numbers, terminal strips, command terminals, enable/fault terminals</t>
  </si>
  <si>
    <t xml:space="preserve">Confirms analog ±10 V compatibility and drive enable/fault wiring.</t>
  </si>
  <si>
    <t xml:space="preserve">xyz_servo_drive_terminals_YYYY-MM-DD</t>
  </si>
  <si>
    <t xml:space="preserve">Take one photo per axis if possible.</t>
  </si>
  <si>
    <t xml:space="preserve">Axis motor / encoder wiring</t>
  </si>
  <si>
    <t xml:space="preserve">Encoder cable connectors, labels, pickup modules, motor nameplates if reachable</t>
  </si>
  <si>
    <t xml:space="preserve">Confirms encoder type, supply, pinout, and scale path.</t>
  </si>
  <si>
    <t xml:space="preserve">axis_encoder_connectors_YYYY-MM-DD</t>
  </si>
  <si>
    <t xml:space="preserve">Do not unplug unless labeled and safe.</t>
  </si>
  <si>
    <t xml:space="preserve">Spindle FR-SX drive</t>
  </si>
  <si>
    <t xml:space="preserve">Model label, terminal strip, analog input, run/FWD/REV/enable/alarm terminals</t>
  </si>
  <si>
    <t xml:space="preserve">Confirms spindle speed command and digital control wiring.</t>
  </si>
  <si>
    <t xml:space="preserve">frsx_spindle_drive_terminals_YYYY-MM-DD</t>
  </si>
  <si>
    <t xml:space="preserve">Need readable terminal labels.</t>
  </si>
  <si>
    <t xml:space="preserve">24 VDC supply</t>
  </si>
  <si>
    <t xml:space="preserve">HR-11F-24 terminals +S, +, -, -S, TOG, CNT, FG, L, N and destination wires</t>
  </si>
  <si>
    <t xml:space="preserve">Confirms P24/G24 distribution and remote sense/control wiring.</t>
  </si>
  <si>
    <t xml:space="preserve">hr11f24_supply_terminals_YYYY-MM-DD</t>
  </si>
  <si>
    <t xml:space="preserve">Include pulled-back destination photo.</t>
  </si>
  <si>
    <t xml:space="preserve">P24/G24 terminal strips</t>
  </si>
  <si>
    <t xml:space="preserve">P24, G24, +24V, 0V jumpers, wire numbers, fuses</t>
  </si>
  <si>
    <t xml:space="preserve">Confirms Mesa field-power and I/O common strategy.</t>
  </si>
  <si>
    <t xml:space="preserve">p24_g24_terminal_strip_YYYY-MM-DD</t>
  </si>
  <si>
    <t xml:space="preserve">Capture every jumper and branch fuse.</t>
  </si>
  <si>
    <t xml:space="preserve">Green breakout PCB</t>
  </si>
  <si>
    <t xml:space="preserve">Full board, connector names, YM VQC-20-40/50 label, circular plugs, D-sub connectors</t>
  </si>
  <si>
    <t xml:space="preserve">Decides whether to reuse the board as a junction or bypass to terminal blocks.</t>
  </si>
  <si>
    <t xml:space="preserve">green_breakout_pcb_YYYY-MM-DD</t>
  </si>
  <si>
    <t xml:space="preserve">Take full-board and connector close-ups.</t>
  </si>
  <si>
    <t xml:space="preserve">Existing I/O terminal strips</t>
  </si>
  <si>
    <t xml:space="preserve">Labels such as INHRLS, DEC2, CH4, limits/home/ATC signals, wire numbers</t>
  </si>
  <si>
    <t xml:space="preserve">Maps real terminals to Mesa inputs/outputs.</t>
  </si>
  <si>
    <t xml:space="preserve">io_terminal_strips_YYYY-MM-DD</t>
  </si>
  <si>
    <t xml:space="preserve">Best if each terminal number is readable.</t>
  </si>
  <si>
    <t xml:space="preserve">E-stop / safety chain hardware</t>
  </si>
  <si>
    <t xml:space="preserve">E-stop relays, door interlock wiring, servo contactor, ready chain relays</t>
  </si>
  <si>
    <t xml:space="preserve">Determines what stays hardwired and what LinuxCNC only monitors.</t>
  </si>
  <si>
    <t xml:space="preserve">estop_safety_chain_relays_YYYY-MM-DD</t>
  </si>
  <si>
    <t xml:space="preserve">Do not alter before tracing.</t>
  </si>
  <si>
    <t xml:space="preserve">Medium</t>
  </si>
  <si>
    <t xml:space="preserve">Tool clamp / drawbar valves</t>
  </si>
  <si>
    <t xml:space="preserve">Solenoid labels, coil voltage, terminal numbers, PRS-8/PRS-9 wiring</t>
  </si>
  <si>
    <t xml:space="preserve">Confirms ATC tool clamp/unclamp I/O.</t>
  </si>
  <si>
    <t xml:space="preserve">tool_clamp_valves_prs8_prs9_YYYY-MM-DD</t>
  </si>
  <si>
    <t xml:space="preserve">Need coil voltage/current later.</t>
  </si>
  <si>
    <t xml:space="preserve">Spindle gear shift valves</t>
  </si>
  <si>
    <t xml:space="preserve">SOL-12/SOL-13 or related labels, PRS-10/PRS-12 wiring</t>
  </si>
  <si>
    <t xml:space="preserve">Confirms high/low gear logic and safe spindle interlocks.</t>
  </si>
  <si>
    <t xml:space="preserve">gear_shift_valves_prs10_prs12_YYYY-MM-DD</t>
  </si>
  <si>
    <t xml:space="preserve">Magazine hydraulics</t>
  </si>
  <si>
    <t xml:space="preserve">SOL-8A/SOL-8B, PRS-13, PRS-21 through PRS-25, cover switches/solenoids</t>
  </si>
  <si>
    <t xml:space="preserve">Confirms magazine rotation and tool-position bit logic.</t>
  </si>
  <si>
    <t xml:space="preserve">magazine_hydraulics_prs21_25_YYYY-MM-DD</t>
  </si>
  <si>
    <t xml:space="preserve">Capture tool position prox labels.</t>
  </si>
  <si>
    <t xml:space="preserve">Coolant / air / utility outputs</t>
  </si>
  <si>
    <t xml:space="preserve">Coolant contactors, air blast valves, tap coolant, work light, relays</t>
  </si>
  <si>
    <t xml:space="preserve">Determines direct 7i84 output vs interposing relay needs.</t>
  </si>
  <si>
    <t xml:space="preserve">coolant_air_utility_relays_YYYY-MM-DD</t>
  </si>
  <si>
    <t xml:space="preserve">Cabinet grounding / shield bars</t>
  </si>
  <si>
    <t xml:space="preserve">PE bar, 0 V common bar, shield clamp areas, analog/encoder shield landings</t>
  </si>
  <si>
    <t xml:space="preserve">Prevents noise and ground-loop problems.</t>
  </si>
  <si>
    <t xml:space="preserve">ground_shield_common_bars_YYYY-MM-DD</t>
  </si>
  <si>
    <t xml:space="preserve">Capture wire colors and shield drains.</t>
  </si>
  <si>
    <t xml:space="preserve">Available DIN rail / panel space</t>
  </si>
  <si>
    <t xml:space="preserve">Open rail length, wire duct space, door clearance around proposed 7i77/7i84 area</t>
  </si>
  <si>
    <t xml:space="preserve">Drives DIN rail, duct, terminal, and mounting parts list.</t>
  </si>
  <si>
    <t xml:space="preserve">din_rail_panel_space_YYYY-MM-DD</t>
  </si>
  <si>
    <t xml:space="preserve">Include ruler/tape if possible.</t>
  </si>
  <si>
    <t xml:space="preserve">Low</t>
  </si>
  <si>
    <t xml:space="preserve">Operator panel wiring</t>
  </si>
  <si>
    <t xml:space="preserve">Cycle start, feed hold, single block, overrides, lamps</t>
  </si>
  <si>
    <t xml:space="preserve">Helps decide which original panel controls to keep.</t>
  </si>
  <si>
    <t xml:space="preserve">operator_panel_wiring_YYYY-MM-DD</t>
  </si>
  <si>
    <t xml:space="preserve">Cabinet schematic pockets / door labels</t>
  </si>
  <si>
    <t xml:space="preserve">Inside-door legends, terminal charts, paper schematics</t>
  </si>
  <si>
    <t xml:space="preserve">May save tracing time.</t>
  </si>
  <si>
    <t xml:space="preserve">cabinet_schematic_labels_YYYY-MM-DD</t>
  </si>
  <si>
    <t xml:space="preserve">Slow video sweep</t>
  </si>
  <si>
    <t xml:space="preserve">Start wide, move left to right, pause at each drive/terminal/relay/breakout board</t>
  </si>
  <si>
    <t xml:space="preserve">Provides context between close-ups and device locations.</t>
  </si>
  <si>
    <t xml:space="preserve">cabinet_video_sweep_YYYY-MM-DD</t>
  </si>
  <si>
    <t xml:space="preserve">Narrate what each section is if possible.</t>
  </si>
  <si>
    <t xml:space="preserve">Motion and Axis Requirements</t>
  </si>
  <si>
    <t xml:space="preserve">All motion requirements extracted from the available Mazak/Mesa retrofit notes. The actual drive command polarity, encoder type, and scale must be measured before live motion.</t>
  </si>
  <si>
    <t xml:space="preserve">Axis / Device</t>
  </si>
  <si>
    <t xml:space="preserve">Control Type</t>
  </si>
  <si>
    <t xml:space="preserve">Command Channel</t>
  </si>
  <si>
    <t xml:space="preserve">Feedback Channel</t>
  </si>
  <si>
    <t xml:space="preserve">Existing Hardware</t>
  </si>
  <si>
    <t xml:space="preserve">LinuxCNC Requirement</t>
  </si>
  <si>
    <t xml:space="preserve">Interlocks / Dependencies</t>
  </si>
  <si>
    <t xml:space="preserve">Bring-up Test</t>
  </si>
  <si>
    <t xml:space="preserve">X axis</t>
  </si>
  <si>
    <t xml:space="preserve">Analog servo</t>
  </si>
  <si>
    <t xml:space="preserve">7i77 AO0, ±10 V</t>
  </si>
  <si>
    <t xml:space="preserve">7i77 ENC0</t>
  </si>
  <si>
    <t xml:space="preserve">Mitsubishi DC permanent-magnet servo / drive</t>
  </si>
  <si>
    <t xml:space="preserve">Closed-loop joint.0 PID using encoder feedback; home on LS-42; limits into joint limit pins.</t>
  </si>
  <si>
    <t xml:space="preserve">X drive enable, X drive fault, estop chain, servo power contactor</t>
  </si>
  <si>
    <t xml:space="preserve">Verify encoder counts and direction with drive disabled; enable at low gain; jog slowly; confirm limits/home.</t>
  </si>
  <si>
    <t xml:space="preserve">Inferred / likely</t>
  </si>
  <si>
    <t xml:space="preserve">±10 V analog is likely from retrofit notes but must be confirmed at drive terminals.</t>
  </si>
  <si>
    <t xml:space="preserve">Y axis</t>
  </si>
  <si>
    <t xml:space="preserve">7i77 AO1, ±10 V</t>
  </si>
  <si>
    <t xml:space="preserve">7i77 ENC1</t>
  </si>
  <si>
    <t xml:space="preserve">Mitsubishi DC servo / drive</t>
  </si>
  <si>
    <t xml:space="preserve">Closed-loop joint.1 PID; home on LS-52; limits into joint pins.</t>
  </si>
  <si>
    <t xml:space="preserve">Y drive enable, Y drive fault, estop chain</t>
  </si>
  <si>
    <t xml:space="preserve">Same as X; verify home direction and Y ATC zone signal if present.</t>
  </si>
  <si>
    <t xml:space="preserve">Confirm encoder wiring and drive command polarity.</t>
  </si>
  <si>
    <t xml:space="preserve">Z axis</t>
  </si>
  <si>
    <t xml:space="preserve">7i77 AO2, ±10 V</t>
  </si>
  <si>
    <t xml:space="preserve">7i77 ENC2</t>
  </si>
  <si>
    <t xml:space="preserve">Closed-loop joint.2 PID; home on LS-62; limits into joint pins.</t>
  </si>
  <si>
    <t xml:space="preserve">Z drive enable, Z drive fault, estop chain, hydraulic/toolchanger safe state</t>
  </si>
  <si>
    <t xml:space="preserve">Support head/tooling as needed; verify brake/counterbalance behavior before enabling motion.</t>
  </si>
  <si>
    <t xml:space="preserve">Confirm Z brake or hydraulic dependencies if present.</t>
  </si>
  <si>
    <t xml:space="preserve">Spindle</t>
  </si>
  <si>
    <t xml:space="preserve">Analog speed + digital run/dir/enable</t>
  </si>
  <si>
    <t xml:space="preserve">7i77 AO3, 0-10 V or ±10 V</t>
  </si>
  <si>
    <t xml:space="preserve">7i77 ENC3 or pickup input</t>
  </si>
  <si>
    <t xml:space="preserve">Mitsubishi FR-SX spindle controller and AC spindle motor</t>
  </si>
  <si>
    <t xml:space="preserve">spindle.0 speed command, enable, direction, optional encoder for threading/orient/rigid tapping.</t>
  </si>
  <si>
    <t xml:space="preserve">FR-SX alarm, zero-speed/at-speed, gear high/low confirmation, orient OK</t>
  </si>
  <si>
    <t xml:space="preserve">Command low RPM with belt/gear safe; verify analog scaling, direction, zero-speed, at-speed.</t>
  </si>
  <si>
    <t xml:space="preserve">Verify in cabinet</t>
  </si>
  <si>
    <t xml:space="preserve">FR-SX terminal mode and analog scaling must be checked against drive manual and measured.</t>
  </si>
  <si>
    <t xml:space="preserve">Magazine / ATC</t>
  </si>
  <si>
    <t xml:space="preserve">Discrete sequence</t>
  </si>
  <si>
    <t xml:space="preserve">7i84 outputs</t>
  </si>
  <si>
    <t xml:space="preserve">7i84 inputs PRS-8/9/13/21-25 plus ATC zones</t>
  </si>
  <si>
    <t xml:space="preserve">Hydraulic magazine/tool clamp system</t>
  </si>
  <si>
    <t xml:space="preserve">HAL/ClassicLadder or component sequence for clamp/unclamp, magazine CW/CCW, tool code decode, safe positions.</t>
  </si>
  <si>
    <t xml:space="preserve">Tool clamped/unclamped, mag in-position, Y/Z ATC zones, spindle orient, hydraulic pressure OK</t>
  </si>
  <si>
    <t xml:space="preserve">Dry-run with spindle stopped and tool removed; verify every prox and solenoid one at a time.</t>
  </si>
  <si>
    <t xml:space="preserve">Confirmed from notes</t>
  </si>
  <si>
    <t xml:space="preserve">Exact magazine tool-bit count and cover functions must be verified.</t>
  </si>
  <si>
    <t xml:space="preserve">USB HAL input</t>
  </si>
  <si>
    <t xml:space="preserve">LinuxCNC USB driver</t>
  </si>
  <si>
    <t xml:space="preserve">Optional WHB04B-style wireless USB pendant</t>
  </si>
  <si>
    <t xml:space="preserve">Map jog, feed/spindle override, start/stop/home to HAL nets.</t>
  </si>
  <si>
    <t xml:space="preserve">Do not bypass hardware estop; pendant estop should only feed logic unless proven safety-rated.</t>
  </si>
  <si>
    <t xml:space="preserve">Test jog increments with machine disabled first, then low-speed enabled jog.</t>
  </si>
  <si>
    <t xml:space="preserve">No Mesa card required; use USB extension for receiver placement.</t>
  </si>
  <si>
    <t xml:space="preserve">Master I/O and Control Signal List</t>
  </si>
  <si>
    <t xml:space="preserve">This is the working master map. Filter by Mesa Card, Direction, Subsystem, or Status. Update connector/bit values after selecting exact Mesa cards and tracing the cabinet.</t>
  </si>
  <si>
    <t xml:space="preserve">Machine Signal Name</t>
  </si>
  <si>
    <t xml:space="preserve">Mazak Label / Drawing Ref</t>
  </si>
  <si>
    <t xml:space="preserve">Subsystem</t>
  </si>
  <si>
    <t xml:space="preserve">Function</t>
  </si>
  <si>
    <t xml:space="preserve">Normal State / Type</t>
  </si>
  <si>
    <t xml:space="preserve">Direction</t>
  </si>
  <si>
    <t xml:space="preserve">Mesa Card</t>
  </si>
  <si>
    <t xml:space="preserve">Mesa Conn</t>
  </si>
  <si>
    <t xml:space="preserve">Mesa Bit / Channel</t>
  </si>
  <si>
    <t xml:space="preserve">LinuxCNC HAL Net</t>
  </si>
  <si>
    <t xml:space="preserve">Cabinet Landing / Origin</t>
  </si>
  <si>
    <t xml:space="preserve">X_AXIS_CMD</t>
  </si>
  <si>
    <t xml:space="preserve">Motion</t>
  </si>
  <si>
    <t xml:space="preserve">X servo analog command</t>
  </si>
  <si>
    <t xml:space="preserve">±10 V</t>
  </si>
  <si>
    <t xml:space="preserve">ANALOG OUT</t>
  </si>
  <si>
    <t xml:space="preserve">Analog TB</t>
  </si>
  <si>
    <t xml:space="preserve">AO0</t>
  </si>
  <si>
    <t xml:space="preserve">x-vel-cmd</t>
  </si>
  <si>
    <t xml:space="preserve">X servo amp command input</t>
  </si>
  <si>
    <t xml:space="preserve">Confirm velocity/torque input terminals and polarity.</t>
  </si>
  <si>
    <t xml:space="preserve">Y_AXIS_CMD</t>
  </si>
  <si>
    <t xml:space="preserve">Y servo analog command</t>
  </si>
  <si>
    <t xml:space="preserve">AO1</t>
  </si>
  <si>
    <t xml:space="preserve">y-vel-cmd</t>
  </si>
  <si>
    <t xml:space="preserve">Y servo amp command input</t>
  </si>
  <si>
    <t xml:space="preserve">Z_AXIS_CMD</t>
  </si>
  <si>
    <t xml:space="preserve">Z servo analog command</t>
  </si>
  <si>
    <t xml:space="preserve">AO2</t>
  </si>
  <si>
    <t xml:space="preserve">z-vel-cmd</t>
  </si>
  <si>
    <t xml:space="preserve">Z servo amp command input</t>
  </si>
  <si>
    <t xml:space="preserve">SPINDLE_SPEED_CMD</t>
  </si>
  <si>
    <t xml:space="preserve">FR-SX speed reference</t>
  </si>
  <si>
    <t xml:space="preserve">0-10 V or ±10 V</t>
  </si>
  <si>
    <t xml:space="preserve">AO3</t>
  </si>
  <si>
    <t xml:space="preserve">spindle-speed-cmd</t>
  </si>
  <si>
    <t xml:space="preserve">FR-SX analog speed input</t>
  </si>
  <si>
    <t xml:space="preserve">Check FR-SX scaling and isolated/common reference.</t>
  </si>
  <si>
    <t xml:space="preserve">X_ENCODER</t>
  </si>
  <si>
    <t xml:space="preserve">X encoder feedback</t>
  </si>
  <si>
    <t xml:space="preserve">Differential quadrature + index if present</t>
  </si>
  <si>
    <t xml:space="preserve">ENCODER IN</t>
  </si>
  <si>
    <t xml:space="preserve">Encoder TB</t>
  </si>
  <si>
    <t xml:space="preserve">ENC0</t>
  </si>
  <si>
    <t xml:space="preserve">x-pos-fb</t>
  </si>
  <si>
    <t xml:space="preserve">X motor encoder</t>
  </si>
  <si>
    <t xml:space="preserve">Identify A/B/Z, supply voltage, shield, counts/rev.</t>
  </si>
  <si>
    <t xml:space="preserve">Y_ENCODER</t>
  </si>
  <si>
    <t xml:space="preserve">Y encoder feedback</t>
  </si>
  <si>
    <t xml:space="preserve">ENC1</t>
  </si>
  <si>
    <t xml:space="preserve">y-pos-fb</t>
  </si>
  <si>
    <t xml:space="preserve">Y motor encoder</t>
  </si>
  <si>
    <t xml:space="preserve">Z_ENCODER</t>
  </si>
  <si>
    <t xml:space="preserve">Z encoder feedback</t>
  </si>
  <si>
    <t xml:space="preserve">ENC2</t>
  </si>
  <si>
    <t xml:space="preserve">z-pos-fb</t>
  </si>
  <si>
    <t xml:space="preserve">Z motor encoder</t>
  </si>
  <si>
    <t xml:space="preserve">SPINDLE_ENCODER</t>
  </si>
  <si>
    <t xml:space="preserve">Spindle pickup/encoder</t>
  </si>
  <si>
    <t xml:space="preserve">Differential or pickup TBD</t>
  </si>
  <si>
    <t xml:space="preserve">ENC3</t>
  </si>
  <si>
    <t xml:space="preserve">spindle-pos-fb</t>
  </si>
  <si>
    <t xml:space="preserve">Tamagawa pickup / spindle encoder</t>
  </si>
  <si>
    <t xml:space="preserve">Confirm whether quadrature encoder, magnetic pickup, or proprietary signal.</t>
  </si>
  <si>
    <t xml:space="preserve">X_HOME</t>
  </si>
  <si>
    <t xml:space="preserve">LS-42</t>
  </si>
  <si>
    <t xml:space="preserve">Axis safety</t>
  </si>
  <si>
    <t xml:space="preserve">X axis zero return switch</t>
  </si>
  <si>
    <t xml:space="preserve">NO, active-high assumed</t>
  </si>
  <si>
    <t xml:space="preserve">IN</t>
  </si>
  <si>
    <t xml:space="preserve">TB5</t>
  </si>
  <si>
    <t xml:space="preserve">IN0</t>
  </si>
  <si>
    <t xml:space="preserve">home-x</t>
  </si>
  <si>
    <t xml:space="preserve">Existing field switch / Mazak I/O</t>
  </si>
  <si>
    <t xml:space="preserve">Normal state must be verified.</t>
  </si>
  <si>
    <t xml:space="preserve">X_LIMIT_PLUS</t>
  </si>
  <si>
    <t xml:space="preserve">OT+X</t>
  </si>
  <si>
    <t xml:space="preserve">X positive overtravel limit</t>
  </si>
  <si>
    <t xml:space="preserve">NC, active-low assumed</t>
  </si>
  <si>
    <t xml:space="preserve">IN1</t>
  </si>
  <si>
    <t xml:space="preserve">limit-x-plus</t>
  </si>
  <si>
    <t xml:space="preserve">Existing OT chain</t>
  </si>
  <si>
    <t xml:space="preserve">May be chained rather than separate.</t>
  </si>
  <si>
    <t xml:space="preserve">X_LIMIT_MINUS</t>
  </si>
  <si>
    <t xml:space="preserve">OT-X</t>
  </si>
  <si>
    <t xml:space="preserve">X negative overtravel limit</t>
  </si>
  <si>
    <t xml:space="preserve">IN2</t>
  </si>
  <si>
    <t xml:space="preserve">limit-x-minus</t>
  </si>
  <si>
    <t xml:space="preserve">Y_HOME</t>
  </si>
  <si>
    <t xml:space="preserve">LS-52</t>
  </si>
  <si>
    <t xml:space="preserve">Y axis zero return switch</t>
  </si>
  <si>
    <t xml:space="preserve">NO assumed</t>
  </si>
  <si>
    <t xml:space="preserve">IN3</t>
  </si>
  <si>
    <t xml:space="preserve">home-y</t>
  </si>
  <si>
    <t xml:space="preserve">Existing field switch</t>
  </si>
  <si>
    <t xml:space="preserve">Y_LIMIT_PLUS</t>
  </si>
  <si>
    <t xml:space="preserve">OT+Y</t>
  </si>
  <si>
    <t xml:space="preserve">Y positive overtravel limit</t>
  </si>
  <si>
    <t xml:space="preserve">NC assumed</t>
  </si>
  <si>
    <t xml:space="preserve">IN4</t>
  </si>
  <si>
    <t xml:space="preserve">limit-y-plus</t>
  </si>
  <si>
    <t xml:space="preserve">Y_LIMIT_MINUS</t>
  </si>
  <si>
    <t xml:space="preserve">OT-Y</t>
  </si>
  <si>
    <t xml:space="preserve">Y negative overtravel limit</t>
  </si>
  <si>
    <t xml:space="preserve">IN5</t>
  </si>
  <si>
    <t xml:space="preserve">limit-y-minus</t>
  </si>
  <si>
    <t xml:space="preserve">Z_HOME</t>
  </si>
  <si>
    <t xml:space="preserve">LS-62</t>
  </si>
  <si>
    <t xml:space="preserve">Z axis zero return switch</t>
  </si>
  <si>
    <t xml:space="preserve">IN6</t>
  </si>
  <si>
    <t xml:space="preserve">home-z</t>
  </si>
  <si>
    <t xml:space="preserve">Z_LIMIT_PLUS</t>
  </si>
  <si>
    <t xml:space="preserve">OT+Z</t>
  </si>
  <si>
    <t xml:space="preserve">Z positive overtravel limit</t>
  </si>
  <si>
    <t xml:space="preserve">IN7</t>
  </si>
  <si>
    <t xml:space="preserve">limit-z-plus</t>
  </si>
  <si>
    <t xml:space="preserve">Z_LIMIT_MINUS</t>
  </si>
  <si>
    <t xml:space="preserve">OT-Z</t>
  </si>
  <si>
    <t xml:space="preserve">Z negative overtravel limit</t>
  </si>
  <si>
    <t xml:space="preserve">IN8</t>
  </si>
  <si>
    <t xml:space="preserve">limit-z-minus</t>
  </si>
  <si>
    <t xml:space="preserve">X_DRIVE_FAULT</t>
  </si>
  <si>
    <t xml:space="preserve">Drive safety</t>
  </si>
  <si>
    <t xml:space="preserve">X servo drive alarm/fault</t>
  </si>
  <si>
    <t xml:space="preserve">Active-low assumed</t>
  </si>
  <si>
    <t xml:space="preserve">IN9</t>
  </si>
  <si>
    <t xml:space="preserve">x-drive-fault</t>
  </si>
  <si>
    <t xml:space="preserve">X Mitsubishi servo amp</t>
  </si>
  <si>
    <t xml:space="preserve">Find alarm contact logic at drive terminal.</t>
  </si>
  <si>
    <t xml:space="preserve">Y_DRIVE_FAULT</t>
  </si>
  <si>
    <t xml:space="preserve">Y servo drive alarm/fault</t>
  </si>
  <si>
    <t xml:space="preserve">IN10</t>
  </si>
  <si>
    <t xml:space="preserve">y-drive-fault</t>
  </si>
  <si>
    <t xml:space="preserve">Y Mitsubishi servo amp</t>
  </si>
  <si>
    <t xml:space="preserve">Z_DRIVE_FAULT</t>
  </si>
  <si>
    <t xml:space="preserve">Z servo drive alarm/fault</t>
  </si>
  <si>
    <t xml:space="preserve">IN11</t>
  </si>
  <si>
    <t xml:space="preserve">z-drive-fault</t>
  </si>
  <si>
    <t xml:space="preserve">Z Mitsubishi servo amp</t>
  </si>
  <si>
    <t xml:space="preserve">SPINDLE_FAULT</t>
  </si>
  <si>
    <t xml:space="preserve">Spindle safety</t>
  </si>
  <si>
    <t xml:space="preserve">FR-SX alarm/fault</t>
  </si>
  <si>
    <t xml:space="preserve">IN12</t>
  </si>
  <si>
    <t xml:space="preserve">spindle-fault</t>
  </si>
  <si>
    <t xml:space="preserve">FR-SX spindle controller</t>
  </si>
  <si>
    <t xml:space="preserve">ESTOP_CHAIN</t>
  </si>
  <si>
    <t xml:space="preserve">Safety</t>
  </si>
  <si>
    <t xml:space="preserve">External estop chain input</t>
  </si>
  <si>
    <t xml:space="preserve">NC, opens on fault</t>
  </si>
  <si>
    <t xml:space="preserve">IN13</t>
  </si>
  <si>
    <t xml:space="preserve">estop-ext</t>
  </si>
  <si>
    <t xml:space="preserve">Existing safety chain contact</t>
  </si>
  <si>
    <t xml:space="preserve">Consider safety relay; do not rely on software alone for safety.</t>
  </si>
  <si>
    <t xml:space="preserve">DOOR_CLOSED</t>
  </si>
  <si>
    <t xml:space="preserve">Door interlock</t>
  </si>
  <si>
    <t xml:space="preserve">IN14</t>
  </si>
  <si>
    <t xml:space="preserve">door-closed</t>
  </si>
  <si>
    <t xml:space="preserve">Door switch / interlock chain</t>
  </si>
  <si>
    <t xml:space="preserve">LUBE_OK</t>
  </si>
  <si>
    <t xml:space="preserve">Utility safety</t>
  </si>
  <si>
    <t xml:space="preserve">Central lube pressure/float OK</t>
  </si>
  <si>
    <t xml:space="preserve">IN15</t>
  </si>
  <si>
    <t xml:space="preserve">lube-ok</t>
  </si>
  <si>
    <t xml:space="preserve">Central lubrication unit</t>
  </si>
  <si>
    <t xml:space="preserve">HYD_PRESS_OK</t>
  </si>
  <si>
    <t xml:space="preserve">Hydraulic safety</t>
  </si>
  <si>
    <t xml:space="preserve">Hydraulic pressure OK</t>
  </si>
  <si>
    <t xml:space="preserve">IN16</t>
  </si>
  <si>
    <t xml:space="preserve">hydraulic-ok</t>
  </si>
  <si>
    <t xml:space="preserve">Hydraulic pressure switch</t>
  </si>
  <si>
    <t xml:space="preserve">CYCLE_START_PB</t>
  </si>
  <si>
    <t xml:space="preserve">Panel</t>
  </si>
  <si>
    <t xml:space="preserve">Cycle start pushbutton</t>
  </si>
  <si>
    <t xml:space="preserve">NO momentary</t>
  </si>
  <si>
    <t xml:space="preserve">IN17</t>
  </si>
  <si>
    <t xml:space="preserve">cycle-start-pb</t>
  </si>
  <si>
    <t xml:space="preserve">Operator panel</t>
  </si>
  <si>
    <t xml:space="preserve">Can also use LinuxCNC UI/pendant.</t>
  </si>
  <si>
    <t xml:space="preserve">FEED_HOLD_PB</t>
  </si>
  <si>
    <t xml:space="preserve">Feed hold pushbutton</t>
  </si>
  <si>
    <t xml:space="preserve">IN18</t>
  </si>
  <si>
    <t xml:space="preserve">feed-hold-pb</t>
  </si>
  <si>
    <t xml:space="preserve">SINGLE_BLOCK_SW</t>
  </si>
  <si>
    <t xml:space="preserve">Single block switch</t>
  </si>
  <si>
    <t xml:space="preserve">IN19</t>
  </si>
  <si>
    <t xml:space="preserve">single-block</t>
  </si>
  <si>
    <t xml:space="preserve">SPINDLE_ZERO_SPEED</t>
  </si>
  <si>
    <t xml:space="preserve">Spindle zero speed / at speed feedback</t>
  </si>
  <si>
    <t xml:space="preserve">Spare IN</t>
  </si>
  <si>
    <t xml:space="preserve">spindle-zero-speed</t>
  </si>
  <si>
    <t xml:space="preserve">FR-SX or spindle pickup logic</t>
  </si>
  <si>
    <t xml:space="preserve">Required for safe gear shift/toolchange if available.</t>
  </si>
  <si>
    <t xml:space="preserve">SERVO_READY</t>
  </si>
  <si>
    <t xml:space="preserve">Servo ready feedback</t>
  </si>
  <si>
    <t xml:space="preserve">servo-ready</t>
  </si>
  <si>
    <t xml:space="preserve">Servo drives / ready relay</t>
  </si>
  <si>
    <t xml:space="preserve">Useful before enabling motion.</t>
  </si>
  <si>
    <t xml:space="preserve">CABINET_TEMP_FAN_OK</t>
  </si>
  <si>
    <t xml:space="preserve">Cabinet</t>
  </si>
  <si>
    <t xml:space="preserve">Overtemp or fan fail input</t>
  </si>
  <si>
    <t xml:space="preserve">cabinet-ok</t>
  </si>
  <si>
    <t xml:space="preserve">Cabinet sensor if present</t>
  </si>
  <si>
    <t xml:space="preserve">RAPID_OVERRIDE</t>
  </si>
  <si>
    <t xml:space="preserve">Rapid override discrete contacts</t>
  </si>
  <si>
    <t xml:space="preserve">rapid-override</t>
  </si>
  <si>
    <t xml:space="preserve">If analog/pot, handle differently.</t>
  </si>
  <si>
    <t xml:space="preserve">X_DRIVE_ENABLE</t>
  </si>
  <si>
    <t xml:space="preserve">Drive control</t>
  </si>
  <si>
    <t xml:space="preserve">Enable X servo amp</t>
  </si>
  <si>
    <t xml:space="preserve">Active-high assumed</t>
  </si>
  <si>
    <t xml:space="preserve">OUT</t>
  </si>
  <si>
    <t xml:space="preserve">TB6</t>
  </si>
  <si>
    <t xml:space="preserve">OUT0</t>
  </si>
  <si>
    <t xml:space="preserve">x-enable</t>
  </si>
  <si>
    <t xml:space="preserve">X servo amp enable terminal</t>
  </si>
  <si>
    <t xml:space="preserve">Interlock through estop/ready.</t>
  </si>
  <si>
    <t xml:space="preserve">Y_DRIVE_ENABLE</t>
  </si>
  <si>
    <t xml:space="preserve">Enable Y servo amp</t>
  </si>
  <si>
    <t xml:space="preserve">OUT1</t>
  </si>
  <si>
    <t xml:space="preserve">y-enable</t>
  </si>
  <si>
    <t xml:space="preserve">Y servo amp enable terminal</t>
  </si>
  <si>
    <t xml:space="preserve">Z_DRIVE_ENABLE</t>
  </si>
  <si>
    <t xml:space="preserve">Enable Z servo amp</t>
  </si>
  <si>
    <t xml:space="preserve">OUT2</t>
  </si>
  <si>
    <t xml:space="preserve">z-enable</t>
  </si>
  <si>
    <t xml:space="preserve">Z servo amp enable terminal</t>
  </si>
  <si>
    <t xml:space="preserve">SPINDLE_ENABLE</t>
  </si>
  <si>
    <t xml:space="preserve">Spindle control</t>
  </si>
  <si>
    <t xml:space="preserve">FR-SX enable/run permission</t>
  </si>
  <si>
    <t xml:space="preserve">OUT3</t>
  </si>
  <si>
    <t xml:space="preserve">spindle-enable</t>
  </si>
  <si>
    <t xml:space="preserve">FR-SX terminal</t>
  </si>
  <si>
    <t xml:space="preserve">SPINDLE_DIR</t>
  </si>
  <si>
    <t xml:space="preserve">Spindle direction select</t>
  </si>
  <si>
    <t xml:space="preserve">High=FWD assumed</t>
  </si>
  <si>
    <t xml:space="preserve">OUT4</t>
  </si>
  <si>
    <t xml:space="preserve">spindle-dir</t>
  </si>
  <si>
    <t xml:space="preserve">FR-SX FWD/REV terminals</t>
  </si>
  <si>
    <t xml:space="preserve">May need separate FWD and REV outputs.</t>
  </si>
  <si>
    <t xml:space="preserve">SERVO_ON_CONTACTOR</t>
  </si>
  <si>
    <t xml:space="preserve">Safety/control</t>
  </si>
  <si>
    <t xml:space="preserve">Main servo power contactor coil</t>
  </si>
  <si>
    <t xml:space="preserve">OUT5</t>
  </si>
  <si>
    <t xml:space="preserve">main-servo-on</t>
  </si>
  <si>
    <t xml:space="preserve">Original servo-on/contact chain</t>
  </si>
  <si>
    <t xml:space="preserve">Only if LinuxCNC will control contactor.</t>
  </si>
  <si>
    <t xml:space="preserve">READY_LAMP</t>
  </si>
  <si>
    <t xml:space="preserve">READY indicator lamp</t>
  </si>
  <si>
    <t xml:space="preserve">OUT6</t>
  </si>
  <si>
    <t xml:space="preserve">lamp-ready</t>
  </si>
  <si>
    <t xml:space="preserve">Operator panel lamp</t>
  </si>
  <si>
    <t xml:space="preserve">ALARM_LAMP</t>
  </si>
  <si>
    <t xml:space="preserve">MACHINE FAILURE / alarm lamp</t>
  </si>
  <si>
    <t xml:space="preserve">OUT7</t>
  </si>
  <si>
    <t xml:space="preserve">lamp-alarm</t>
  </si>
  <si>
    <t xml:space="preserve">SPINDLE_ORIENT_CMD</t>
  </si>
  <si>
    <t xml:space="preserve">Spindle / ATC</t>
  </si>
  <si>
    <t xml:space="preserve">Spindle orient command</t>
  </si>
  <si>
    <t xml:space="preserve">Spare OUT</t>
  </si>
  <si>
    <t xml:space="preserve">spindle-orient-cmd</t>
  </si>
  <si>
    <t xml:space="preserve">FR-SX orient input or hydraulic orient circuit</t>
  </si>
  <si>
    <t xml:space="preserve">Needed for ATC depending on original design.</t>
  </si>
  <si>
    <t xml:space="preserve">CONTROL_READY_CHAIN</t>
  </si>
  <si>
    <t xml:space="preserve">Control ready output into original Mazak ready chain</t>
  </si>
  <si>
    <t xml:space="preserve">control-ready</t>
  </si>
  <si>
    <t xml:space="preserve">Original ready relay chain</t>
  </si>
  <si>
    <t xml:space="preserve">HYD_PUMP_CONTACTOR</t>
  </si>
  <si>
    <t xml:space="preserve">Hydraulic</t>
  </si>
  <si>
    <t xml:space="preserve">Main hydraulic pump contactor</t>
  </si>
  <si>
    <t xml:space="preserve">hyd-pump-on</t>
  </si>
  <si>
    <t xml:space="preserve">Hydraulic pump contactor coil</t>
  </si>
  <si>
    <t xml:space="preserve">Could stay hardwired/legacy.</t>
  </si>
  <si>
    <t xml:space="preserve">LUBE_PUMP</t>
  </si>
  <si>
    <t xml:space="preserve">Utility</t>
  </si>
  <si>
    <t xml:space="preserve">Main lube pump if switched</t>
  </si>
  <si>
    <t xml:space="preserve">lube-pump-on</t>
  </si>
  <si>
    <t xml:space="preserve">Lube pump circuit</t>
  </si>
  <si>
    <t xml:space="preserve">Only if not continuous/autonomous.</t>
  </si>
  <si>
    <t xml:space="preserve">TOOL_CLAMPED</t>
  </si>
  <si>
    <t xml:space="preserve">PRS-9</t>
  </si>
  <si>
    <t xml:space="preserve">ATC/tool clamp</t>
  </si>
  <si>
    <t xml:space="preserve">Tool clamped sensor</t>
  </si>
  <si>
    <t xml:space="preserve">TB1</t>
  </si>
  <si>
    <t xml:space="preserve">tool-clamped</t>
  </si>
  <si>
    <t xml:space="preserve">Tool clamp prox</t>
  </si>
  <si>
    <t xml:space="preserve">TOOL_UNCLAMPED</t>
  </si>
  <si>
    <t xml:space="preserve">PRS-8</t>
  </si>
  <si>
    <t xml:space="preserve">Tool unclamped sensor</t>
  </si>
  <si>
    <t xml:space="preserve">tool-unclamped</t>
  </si>
  <si>
    <t xml:space="preserve">Tool unclamp prox</t>
  </si>
  <si>
    <t xml:space="preserve">ATC_ZONE_Y</t>
  </si>
  <si>
    <t xml:space="preserve">ATC interlock</t>
  </si>
  <si>
    <t xml:space="preserve">Y axis in tool-change zone</t>
  </si>
  <si>
    <t xml:space="preserve">atc-y-zone</t>
  </si>
  <si>
    <t xml:space="preserve">Axis-zone prox if present</t>
  </si>
  <si>
    <t xml:space="preserve">May be software position only or separate switch.</t>
  </si>
  <si>
    <t xml:space="preserve">ATC_ZONE_Z</t>
  </si>
  <si>
    <t xml:space="preserve">Z axis in tool-change zone</t>
  </si>
  <si>
    <t xml:space="preserve">atc-z-zone</t>
  </si>
  <si>
    <t xml:space="preserve">MAG_IN_POSITION</t>
  </si>
  <si>
    <t xml:space="preserve">PRS-13</t>
  </si>
  <si>
    <t xml:space="preserve">Magazine</t>
  </si>
  <si>
    <t xml:space="preserve">Magazine indexed/in-position</t>
  </si>
  <si>
    <t xml:space="preserve">mag-in-pos</t>
  </si>
  <si>
    <t xml:space="preserve">Magazine in-position prox</t>
  </si>
  <si>
    <t xml:space="preserve">TOOL_BIT0</t>
  </si>
  <si>
    <t xml:space="preserve">PRS-21</t>
  </si>
  <si>
    <t xml:space="preserve">Magazine tool code bit 0</t>
  </si>
  <si>
    <t xml:space="preserve">tool-code-0</t>
  </si>
  <si>
    <t xml:space="preserve">Tool position prox</t>
  </si>
  <si>
    <t xml:space="preserve">TOOL_BIT1</t>
  </si>
  <si>
    <t xml:space="preserve">PRS-22</t>
  </si>
  <si>
    <t xml:space="preserve">Magazine tool code bit 1</t>
  </si>
  <si>
    <t xml:space="preserve">tool-code-1</t>
  </si>
  <si>
    <t xml:space="preserve">TOOL_BIT2</t>
  </si>
  <si>
    <t xml:space="preserve">PRS-23</t>
  </si>
  <si>
    <t xml:space="preserve">Magazine tool code bit 2</t>
  </si>
  <si>
    <t xml:space="preserve">tool-code-2</t>
  </si>
  <si>
    <t xml:space="preserve">TOOL_BIT3</t>
  </si>
  <si>
    <t xml:space="preserve">PRS-24</t>
  </si>
  <si>
    <t xml:space="preserve">Magazine tool code bit 3</t>
  </si>
  <si>
    <t xml:space="preserve">tool-code-3</t>
  </si>
  <si>
    <t xml:space="preserve">TOOL_BIT4</t>
  </si>
  <si>
    <t xml:space="preserve">PRS-25</t>
  </si>
  <si>
    <t xml:space="preserve">Magazine tool code bit 4 if used</t>
  </si>
  <si>
    <t xml:space="preserve">tool-code-4</t>
  </si>
  <si>
    <t xml:space="preserve">Depends on magazine tool count.</t>
  </si>
  <si>
    <t xml:space="preserve">COOLANT_LOW</t>
  </si>
  <si>
    <t xml:space="preserve">Coolant</t>
  </si>
  <si>
    <t xml:space="preserve">Coolant tank low level</t>
  </si>
  <si>
    <t xml:space="preserve">coolant-low</t>
  </si>
  <si>
    <t xml:space="preserve">Coolant tank switch if present</t>
  </si>
  <si>
    <t xml:space="preserve">AIR_PRESS_OK</t>
  </si>
  <si>
    <t xml:space="preserve">Pneumatic</t>
  </si>
  <si>
    <t xml:space="preserve">Shop air pressure OK</t>
  </si>
  <si>
    <t xml:space="preserve">air-ok</t>
  </si>
  <si>
    <t xml:space="preserve">Air pressure switch</t>
  </si>
  <si>
    <t xml:space="preserve">Needed if air blast/tool functions depend on air.</t>
  </si>
  <si>
    <t xml:space="preserve">MAG_COVER_CLOSED</t>
  </si>
  <si>
    <t xml:space="preserve">Magazine cover closed</t>
  </si>
  <si>
    <t xml:space="preserve">mag-cover-closed</t>
  </si>
  <si>
    <t xml:space="preserve">Cover switch if present</t>
  </si>
  <si>
    <t xml:space="preserve">COOLANT_TOGGLE</t>
  </si>
  <si>
    <t xml:space="preserve">Coolant toggle button</t>
  </si>
  <si>
    <t xml:space="preserve">coolant-toggle</t>
  </si>
  <si>
    <t xml:space="preserve">SPINDLE_OVERRIDE_CONTACTS</t>
  </si>
  <si>
    <t xml:space="preserve">Spindle override selector contacts</t>
  </si>
  <si>
    <t xml:space="preserve">spindle-override-sel</t>
  </si>
  <si>
    <t xml:space="preserve">If analog/pot, not a simple DI.</t>
  </si>
  <si>
    <t xml:space="preserve">ATC_HOME_PB</t>
  </si>
  <si>
    <t xml:space="preserve">Panel/ATC</t>
  </si>
  <si>
    <t xml:space="preserve">ATC home or magazine jog button</t>
  </si>
  <si>
    <t xml:space="preserve">atc-home-pb</t>
  </si>
  <si>
    <t xml:space="preserve">Operator panel/custom button</t>
  </si>
  <si>
    <t xml:space="preserve">CHIP_CONV_FAULT</t>
  </si>
  <si>
    <t xml:space="preserve">Chip handling</t>
  </si>
  <si>
    <t xml:space="preserve">Chip conveyor overload/fault</t>
  </si>
  <si>
    <t xml:space="preserve">chip-conveyor-fault</t>
  </si>
  <si>
    <t xml:space="preserve">Future conveyor overload</t>
  </si>
  <si>
    <t xml:space="preserve">Future.</t>
  </si>
  <si>
    <t xml:space="preserve">TOOL_UNCLAMP_SOL</t>
  </si>
  <si>
    <t xml:space="preserve">SOL-10</t>
  </si>
  <si>
    <t xml:space="preserve">Tool unclamp solenoid</t>
  </si>
  <si>
    <t xml:space="preserve">TB2</t>
  </si>
  <si>
    <t xml:space="preserve">tool-unclamp-sol</t>
  </si>
  <si>
    <t xml:space="preserve">Hydraulic valve coil</t>
  </si>
  <si>
    <t xml:space="preserve">Verify coil voltage/current before direct output.</t>
  </si>
  <si>
    <t xml:space="preserve">MAG_CW_SOL</t>
  </si>
  <si>
    <t xml:space="preserve">SOL-8A</t>
  </si>
  <si>
    <t xml:space="preserve">Magazine rotate CW/forward</t>
  </si>
  <si>
    <t xml:space="preserve">mag-cw-sol</t>
  </si>
  <si>
    <t xml:space="preserve">MAG_CCW_SOL</t>
  </si>
  <si>
    <t xml:space="preserve">SOL-8B</t>
  </si>
  <si>
    <t xml:space="preserve">Magazine rotate CCW/reverse</t>
  </si>
  <si>
    <t xml:space="preserve">mag-ccw-sol</t>
  </si>
  <si>
    <t xml:space="preserve">MAG_COVER_OPEN</t>
  </si>
  <si>
    <t xml:space="preserve">M15</t>
  </si>
  <si>
    <t xml:space="preserve">Magazine cover open solenoid</t>
  </si>
  <si>
    <t xml:space="preserve">mag-cover-open</t>
  </si>
  <si>
    <t xml:space="preserve">Cover solenoid if separate</t>
  </si>
  <si>
    <t xml:space="preserve">Only if separate solenoid present.</t>
  </si>
  <si>
    <t xml:space="preserve">MAG_COVER_CLOSE</t>
  </si>
  <si>
    <t xml:space="preserve">M16</t>
  </si>
  <si>
    <t xml:space="preserve">Magazine cover close solenoid</t>
  </si>
  <si>
    <t xml:space="preserve">mag-cover-close</t>
  </si>
  <si>
    <t xml:space="preserve">FLOOD_COOLANT</t>
  </si>
  <si>
    <t xml:space="preserve">M08</t>
  </si>
  <si>
    <t xml:space="preserve">Flood coolant pump contactor</t>
  </si>
  <si>
    <t xml:space="preserve">flood-coolant</t>
  </si>
  <si>
    <t xml:space="preserve">Coolant contactor/relay</t>
  </si>
  <si>
    <t xml:space="preserve">May need interposing relay.</t>
  </si>
  <si>
    <t xml:space="preserve">MIST_COOLANT</t>
  </si>
  <si>
    <t xml:space="preserve">M07</t>
  </si>
  <si>
    <t xml:space="preserve">Mist coolant valve</t>
  </si>
  <si>
    <t xml:space="preserve">mist-coolant</t>
  </si>
  <si>
    <t xml:space="preserve">Mist valve if present</t>
  </si>
  <si>
    <t xml:space="preserve">AIR_BLAST_1</t>
  </si>
  <si>
    <t xml:space="preserve">M50</t>
  </si>
  <si>
    <t xml:space="preserve">Air</t>
  </si>
  <si>
    <t xml:space="preserve">Workpiece air blast 1</t>
  </si>
  <si>
    <t xml:space="preserve">air-blast-1</t>
  </si>
  <si>
    <t xml:space="preserve">Air solenoid</t>
  </si>
  <si>
    <t xml:space="preserve">AIR_BLAST_2</t>
  </si>
  <si>
    <t xml:space="preserve">M53</t>
  </si>
  <si>
    <t xml:space="preserve">Workpiece air blast 2</t>
  </si>
  <si>
    <t xml:space="preserve">OUT8</t>
  </si>
  <si>
    <t xml:space="preserve">air-blast-2</t>
  </si>
  <si>
    <t xml:space="preserve">TAP_COOLANT</t>
  </si>
  <si>
    <t xml:space="preserve">M52</t>
  </si>
  <si>
    <t xml:space="preserve">Tap coolant valve</t>
  </si>
  <si>
    <t xml:space="preserve">OUT9</t>
  </si>
  <si>
    <t xml:space="preserve">tap-coolant</t>
  </si>
  <si>
    <t xml:space="preserve">Tap coolant valve if plumbed</t>
  </si>
  <si>
    <t xml:space="preserve">WORK_LIGHT</t>
  </si>
  <si>
    <t xml:space="preserve">Work light</t>
  </si>
  <si>
    <t xml:space="preserve">OUT10</t>
  </si>
  <si>
    <t xml:space="preserve">work-light</t>
  </si>
  <si>
    <t xml:space="preserve">Work light circuit</t>
  </si>
  <si>
    <t xml:space="preserve">CHIP_CONVEYOR_ON</t>
  </si>
  <si>
    <t xml:space="preserve">Chip conveyor on/off</t>
  </si>
  <si>
    <t xml:space="preserve">chip-conveyor-on</t>
  </si>
  <si>
    <t xml:space="preserve">Future conveyor contactor</t>
  </si>
  <si>
    <t xml:space="preserve">STACK_LIGHT_GREEN</t>
  </si>
  <si>
    <t xml:space="preserve">Indicator</t>
  </si>
  <si>
    <t xml:space="preserve">Green stack light</t>
  </si>
  <si>
    <t xml:space="preserve">stack-green</t>
  </si>
  <si>
    <t xml:space="preserve">Future stack light</t>
  </si>
  <si>
    <t xml:space="preserve">STACK_LIGHT_RED</t>
  </si>
  <si>
    <t xml:space="preserve">Red stack light</t>
  </si>
  <si>
    <t xml:space="preserve">stack-red</t>
  </si>
  <si>
    <t xml:space="preserve">P24_BUS</t>
  </si>
  <si>
    <t xml:space="preserve">P24 / +24V</t>
  </si>
  <si>
    <t xml:space="preserve">Power</t>
  </si>
  <si>
    <t xml:space="preserve">24 VDC positive control bus</t>
  </si>
  <si>
    <t xml:space="preserve">24 VDC</t>
  </si>
  <si>
    <t xml:space="preserve">POWER</t>
  </si>
  <si>
    <t xml:space="preserve">HR-11F-24</t>
  </si>
  <si>
    <t xml:space="preserve">Terminal strip</t>
  </si>
  <si>
    <t xml:space="preserve">+ / P24</t>
  </si>
  <si>
    <t xml:space="preserve">p24-bus</t>
  </si>
  <si>
    <t xml:space="preserve">Nemic-Lambda + output to Mazak I/O bus</t>
  </si>
  <si>
    <t xml:space="preserve">Verify actual wire numbers and distribution fusing.</t>
  </si>
  <si>
    <t xml:space="preserve">G24_BUS</t>
  </si>
  <si>
    <t xml:space="preserve">G24 / 0V</t>
  </si>
  <si>
    <t xml:space="preserve">24 VDC common/return bus</t>
  </si>
  <si>
    <t xml:space="preserve">0 VDC</t>
  </si>
  <si>
    <t xml:space="preserve">- / G24</t>
  </si>
  <si>
    <t xml:space="preserve">g24-bus</t>
  </si>
  <si>
    <t xml:space="preserve">Nemic-Lambda - output to Mazak I/O bus</t>
  </si>
  <si>
    <t xml:space="preserve">Keep returns referenced to original star/common point.</t>
  </si>
  <si>
    <t xml:space="preserve">HR24_REMOTE_SENSE_PLUS</t>
  </si>
  <si>
    <t xml:space="preserve">+S</t>
  </si>
  <si>
    <t xml:space="preserve">24 V remote sense plus</t>
  </si>
  <si>
    <t xml:space="preserve">Sense</t>
  </si>
  <si>
    <t xml:space="preserve">PSU</t>
  </si>
  <si>
    <t xml:space="preserve">Supply sense wire</t>
  </si>
  <si>
    <t xml:space="preserve">Often lands at P24 bus or jumpered to +.</t>
  </si>
  <si>
    <t xml:space="preserve">HR24_REMOTE_SENSE_MINUS</t>
  </si>
  <si>
    <t xml:space="preserve">-S</t>
  </si>
  <si>
    <t xml:space="preserve">24 V remote sense minus</t>
  </si>
  <si>
    <t xml:space="preserve">Often lands at G24 bus or jumpered to -.</t>
  </si>
  <si>
    <t xml:space="preserve">HR24_REMOTE_CONTROL</t>
  </si>
  <si>
    <t xml:space="preserve">TOG/CNT</t>
  </si>
  <si>
    <t xml:space="preserve">Remote on/off/control pair</t>
  </si>
  <si>
    <t xml:space="preserve">LOGIC</t>
  </si>
  <si>
    <t xml:space="preserve">PSU control terminals</t>
  </si>
  <si>
    <t xml:space="preserve">Do not disturb until traced; may be in estop/ready chain.</t>
  </si>
  <si>
    <t xml:space="preserve">HR24_FRAME_GROUND</t>
  </si>
  <si>
    <t xml:space="preserve">FG</t>
  </si>
  <si>
    <t xml:space="preserve">Grounding</t>
  </si>
  <si>
    <t xml:space="preserve">Frame ground / PE bond</t>
  </si>
  <si>
    <t xml:space="preserve">PE</t>
  </si>
  <si>
    <t xml:space="preserve">Cabinet PE bar</t>
  </si>
  <si>
    <t xml:space="preserve">Bond to cabinet protective earth.</t>
  </si>
  <si>
    <t xml:space="preserve">HR24_AC_LINE</t>
  </si>
  <si>
    <t xml:space="preserve">L/N</t>
  </si>
  <si>
    <t xml:space="preserve">100-120 VAC input from control transformer</t>
  </si>
  <si>
    <t xml:space="preserve">AC input</t>
  </si>
  <si>
    <t xml:space="preserve">Existing Mazak</t>
  </si>
  <si>
    <t xml:space="preserve">Control transformer secondary</t>
  </si>
  <si>
    <t xml:space="preserve">Do not re-tap transformer without measurement.</t>
  </si>
  <si>
    <t xml:space="preserve">PENDANT_USB</t>
  </si>
  <si>
    <t xml:space="preserve">WHB04B</t>
  </si>
  <si>
    <t xml:space="preserve">Wireless pendant USB receiver</t>
  </si>
  <si>
    <t xml:space="preserve">USB</t>
  </si>
  <si>
    <t xml:space="preserve">LinuxCNC USB</t>
  </si>
  <si>
    <t xml:space="preserve">PC USB</t>
  </si>
  <si>
    <t xml:space="preserve">pendant-*</t>
  </si>
  <si>
    <t xml:space="preserve">Tower PC USB port</t>
  </si>
  <si>
    <t xml:space="preserve">Use USB extension to move receiver near cabinet door.</t>
  </si>
  <si>
    <t xml:space="preserve">7i77 Axis, Spindle, and Safety I/O</t>
  </si>
  <si>
    <t xml:space="preserve">Critical motion/safety rows intended to land on the 7i77. Keep these close to axis/spindle drive wiring and existing safety/ready chains.</t>
  </si>
  <si>
    <t xml:space="preserve">7i84 ATC, Hydraulic, Coolant, and Utility I/O</t>
  </si>
  <si>
    <t xml:space="preserve">Bulk field I/O intended for a 7i84 mounted near the existing green breakout PCB. Verify coil current before landing outputs directly.</t>
  </si>
  <si>
    <t xml:space="preserve">Analog Output and Encoder Channel Map</t>
  </si>
  <si>
    <t xml:space="preserve">Channel-level view for 7i77 motion wiring. Confirm encoder type, supply, counts/rev, index, shield, and command polarity before enabling drives.</t>
  </si>
  <si>
    <t xml:space="preserve">Channel</t>
  </si>
  <si>
    <t xml:space="preserve">Signal Type</t>
  </si>
  <si>
    <t xml:space="preserve">Signal Pair / Terminals</t>
  </si>
  <si>
    <t xml:space="preserve">Machine Origin / Destination</t>
  </si>
  <si>
    <t xml:space="preserve">Measurement Needed</t>
  </si>
  <si>
    <t xml:space="preserve">Encoder input</t>
  </si>
  <si>
    <t xml:space="preserve">A+/A-, B+/B-, Z+/Z- if present, +5V/0V if powered from Mesa</t>
  </si>
  <si>
    <t xml:space="preserve">X servo motor encoder</t>
  </si>
  <si>
    <t xml:space="preserve">Encoder type, supply voltage, pinout, counts/rev, index presence</t>
  </si>
  <si>
    <t xml:space="preserve">Do direction/count test before connecting PID.</t>
  </si>
  <si>
    <t xml:space="preserve">A+/A-, B+/B-, Z+/Z- if present</t>
  </si>
  <si>
    <t xml:space="preserve">Y servo motor encoder</t>
  </si>
  <si>
    <t xml:space="preserve">Same as X</t>
  </si>
  <si>
    <t xml:space="preserve">Z servo motor encoder</t>
  </si>
  <si>
    <t xml:space="preserve">Same as X; confirm Z brake/counterbalance dependencies</t>
  </si>
  <si>
    <t xml:space="preserve">Encoder/pickup input</t>
  </si>
  <si>
    <t xml:space="preserve">A+/A-, B+/B- or pickup signal TBD</t>
  </si>
  <si>
    <t xml:space="preserve">Tamagawa pickup or spindle encoder</t>
  </si>
  <si>
    <t xml:space="preserve">Determine if quadrature encoder, one-pulse pickup, resolver, or proprietary module</t>
  </si>
  <si>
    <t xml:space="preserve">Needed for orient/threading; optional for basic spindle speed if no feedback available.</t>
  </si>
  <si>
    <t xml:space="preserve">ENC4</t>
  </si>
  <si>
    <t xml:space="preserve">Spare</t>
  </si>
  <si>
    <t xml:space="preserve">Future rotary / toolsetter / scale</t>
  </si>
  <si>
    <t xml:space="preserve">7i77 or 7i85</t>
  </si>
  <si>
    <t xml:space="preserve">spare-enc-4</t>
  </si>
  <si>
    <t xml:space="preserve">Reserve if using 7i85 expansion.</t>
  </si>
  <si>
    <t xml:space="preserve">ENC5</t>
  </si>
  <si>
    <t xml:space="preserve">Future rotary / handwheel</t>
  </si>
  <si>
    <t xml:space="preserve">spare-enc-5</t>
  </si>
  <si>
    <t xml:space="preserve">Analog output</t>
  </si>
  <si>
    <t xml:space="preserve">±10 V command + analog common</t>
  </si>
  <si>
    <t xml:space="preserve">X servo drive command input</t>
  </si>
  <si>
    <t xml:space="preserve">Drive terminal labels, command scaling, polarity, common/isolation</t>
  </si>
  <si>
    <t xml:space="preserve">Start disabled; confirm zero offset.</t>
  </si>
  <si>
    <t xml:space="preserve">Y servo drive command input</t>
  </si>
  <si>
    <t xml:space="preserve">Z servo drive command input</t>
  </si>
  <si>
    <t xml:space="preserve">Same as X plus brake/counterbalance logic</t>
  </si>
  <si>
    <t xml:space="preserve">0-10 V or ±10 V speed ref + common</t>
  </si>
  <si>
    <t xml:space="preserve">FR-SX spindle controller speed reference</t>
  </si>
  <si>
    <t xml:space="preserve">FR-SX command mode, analog range, direction mode, common reference</t>
  </si>
  <si>
    <t xml:space="preserve">Use low RPM test after verifying run/enable wiring.</t>
  </si>
  <si>
    <t xml:space="preserve">AO4</t>
  </si>
  <si>
    <t xml:space="preserve">Future 4th axis or auxiliary</t>
  </si>
  <si>
    <t xml:space="preserve">spare-ao4</t>
  </si>
  <si>
    <t xml:space="preserve">AO5</t>
  </si>
  <si>
    <t xml:space="preserve">Future use</t>
  </si>
  <si>
    <t xml:space="preserve">spare-ao5</t>
  </si>
  <si>
    <t xml:space="preserve">24 VDC Supply and Cabinet Terminal Notes</t>
  </si>
  <si>
    <t xml:space="preserve">Photo-based extraction around the Nemic-Lambda HR-11F-24 and Mazak P24/G24 distribution. Trace wire numbers before disconnecting anything.</t>
  </si>
  <si>
    <t xml:space="preserve">Terminal / Label</t>
  </si>
  <si>
    <t xml:space="preserve">Device / Strip</t>
  </si>
  <si>
    <t xml:space="preserve">Expected Voltage / Type</t>
  </si>
  <si>
    <t xml:space="preserve">From</t>
  </si>
  <si>
    <t xml:space="preserve">To</t>
  </si>
  <si>
    <t xml:space="preserve">Do / Do Not</t>
  </si>
  <si>
    <t xml:space="preserve">HR-11F-24 PSU</t>
  </si>
  <si>
    <t xml:space="preserve">Remote sense plus</t>
  </si>
  <si>
    <t xml:space="preserve">Sense +24 V</t>
  </si>
  <si>
    <t xml:space="preserve">PSU sense terminal</t>
  </si>
  <si>
    <t xml:space="preserve">P24 bus or jumpered to +</t>
  </si>
  <si>
    <t xml:space="preserve">Do not remove until traced</t>
  </si>
  <si>
    <t xml:space="preserve">Often small-gauge wire paired with +24 bus.</t>
  </si>
  <si>
    <t xml:space="preserve">+</t>
  </si>
  <si>
    <t xml:space="preserve">Main +24 VDC output</t>
  </si>
  <si>
    <t xml:space="preserve">+24 VDC</t>
  </si>
  <si>
    <t xml:space="preserve">P24 / +24V cabinet distribution</t>
  </si>
  <si>
    <t xml:space="preserve">Keep or upgrade with proper fusing</t>
  </si>
  <si>
    <t xml:space="preserve">Existing supply is 24 VDC 5 A; check load if adding Mesa/relays.</t>
  </si>
  <si>
    <t xml:space="preserve">-</t>
  </si>
  <si>
    <t xml:space="preserve">Main 0 VDC return</t>
  </si>
  <si>
    <t xml:space="preserve">0 VDC / G24</t>
  </si>
  <si>
    <t xml:space="preserve">G24 cabinet common</t>
  </si>
  <si>
    <t xml:space="preserve">Keep common reference stable</t>
  </si>
  <si>
    <t xml:space="preserve">Avoid creating new return loops.</t>
  </si>
  <si>
    <t xml:space="preserve">Remote sense minus</t>
  </si>
  <si>
    <t xml:space="preserve">Sense 0 V</t>
  </si>
  <si>
    <t xml:space="preserve">G24 bus or jumpered to -</t>
  </si>
  <si>
    <t xml:space="preserve">TOG</t>
  </si>
  <si>
    <t xml:space="preserve">Remote on/off or inhibit input</t>
  </si>
  <si>
    <t xml:space="preserve">Control logic TBD</t>
  </si>
  <si>
    <t xml:space="preserve">Original Mazak relay/chain</t>
  </si>
  <si>
    <t xml:space="preserve">PSU control</t>
  </si>
  <si>
    <t xml:space="preserve">Trace before changing</t>
  </si>
  <si>
    <t xml:space="preserve">May be involved in NC/estop enable of 24 V bus.</t>
  </si>
  <si>
    <t xml:space="preserve">CNT</t>
  </si>
  <si>
    <t xml:space="preserve">Control companion/return for TOG</t>
  </si>
  <si>
    <t xml:space="preserve">Frame ground</t>
  </si>
  <si>
    <t xml:space="preserve">Protective earth</t>
  </si>
  <si>
    <t xml:space="preserve">PSU chassis</t>
  </si>
  <si>
    <t xml:space="preserve">Bond to PE</t>
  </si>
  <si>
    <t xml:space="preserve">L</t>
  </si>
  <si>
    <t xml:space="preserve">AC line input</t>
  </si>
  <si>
    <t xml:space="preserve">100-120 VAC</t>
  </si>
  <si>
    <t xml:space="preserve">PSU AC input</t>
  </si>
  <si>
    <t xml:space="preserve">Do not re-tap without meter/manual</t>
  </si>
  <si>
    <t xml:space="preserve">N</t>
  </si>
  <si>
    <t xml:space="preserve">AC neutral/other input leg</t>
  </si>
  <si>
    <t xml:space="preserve">100-120 VAC return</t>
  </si>
  <si>
    <t xml:space="preserve">Do not disturb until labeled</t>
  </si>
  <si>
    <t xml:space="preserve">P24</t>
  </si>
  <si>
    <t xml:space="preserve">Mazak terminal strip</t>
  </si>
  <si>
    <t xml:space="preserve">+24 VDC distribution node</t>
  </si>
  <si>
    <t xml:space="preserve">HR-11F-24 + output</t>
  </si>
  <si>
    <t xml:space="preserve">I/O sensors, relay coils, control wiring</t>
  </si>
  <si>
    <t xml:space="preserve">Document every jumper/wire number</t>
  </si>
  <si>
    <t xml:space="preserve">Photo labels included P24, +24V.</t>
  </si>
  <si>
    <t xml:space="preserve">G24</t>
  </si>
  <si>
    <t xml:space="preserve">24 VDC common/return distribution</t>
  </si>
  <si>
    <t xml:space="preserve">HR-11F-24 - output</t>
  </si>
  <si>
    <t xml:space="preserve">I/O returns/common</t>
  </si>
  <si>
    <t xml:space="preserve">Document common jumpers</t>
  </si>
  <si>
    <t xml:space="preserve">INHRLS</t>
  </si>
  <si>
    <t xml:space="preserve">Field input label seen in photo; function TBD</t>
  </si>
  <si>
    <t xml:space="preserve">24 V input TBD</t>
  </si>
  <si>
    <t xml:space="preserve">Field device TBD</t>
  </si>
  <si>
    <t xml:space="preserve">Old Mazatrol I/O / new Mesa input TBD</t>
  </si>
  <si>
    <t xml:space="preserve">Trace before assigning</t>
  </si>
  <si>
    <t xml:space="preserve">Add wire number, source, and normal state when measured.</t>
  </si>
  <si>
    <t xml:space="preserve">DEC2</t>
  </si>
  <si>
    <t xml:space="preserve">Signal label seen in photo; function TBD</t>
  </si>
  <si>
    <t xml:space="preserve">Field device or old I/O TBD</t>
  </si>
  <si>
    <t xml:space="preserve">Mesa I/O TBD</t>
  </si>
  <si>
    <t xml:space="preserve">Could be decel/return-related; do not assume.</t>
  </si>
  <si>
    <t xml:space="preserve">CH4</t>
  </si>
  <si>
    <t xml:space="preserve">Draft Parts List for Buying and Cabinet Planning</t>
  </si>
  <si>
    <t xml:space="preserve">Draft only. Quantities and exact Mesa card variants should be confirmed against current availability, actual drive signal type, I/O count, connector style, and cabinet space before ordering.</t>
  </si>
  <si>
    <t xml:space="preserve">Category</t>
  </si>
  <si>
    <t xml:space="preserve">Part / Description</t>
  </si>
  <si>
    <t xml:space="preserve">Suggested Qty</t>
  </si>
  <si>
    <t xml:space="preserve">Buy Priority</t>
  </si>
  <si>
    <t xml:space="preserve">Purpose</t>
  </si>
  <si>
    <t xml:space="preserve">Depends On / Verify First</t>
  </si>
  <si>
    <t xml:space="preserve">Cabinet Location</t>
  </si>
  <si>
    <t xml:space="preserve">Motion control</t>
  </si>
  <si>
    <t xml:space="preserve">Mesa 6i25 PCIe host card or current equivalent with compatible firmware</t>
  </si>
  <si>
    <t xml:space="preserve">Buy after verification</t>
  </si>
  <si>
    <t xml:space="preserve">PCIe FPGA interface from tower PC to Mesa daughtercards</t>
  </si>
  <si>
    <t xml:space="preserve">Confirm PC PCIe slot, current Mesa availability, 7i77/7i84 compatibility</t>
  </si>
  <si>
    <t xml:space="preserve">Tower PC in former Mazatrol rack bay</t>
  </si>
  <si>
    <t xml:space="preserve">Selected architecture</t>
  </si>
  <si>
    <t xml:space="preserve">Selected PCIe/cabinet architecture. Confirm exact current host card and firmware before ordering/flashing.</t>
  </si>
  <si>
    <t xml:space="preserve">Mesa 7i77 analog servo + encoder + 24 V I/O card</t>
  </si>
  <si>
    <t xml:space="preserve">3 axis analog servo commands, spindle analog speed, encoder feedback, core I/O</t>
  </si>
  <si>
    <t xml:space="preserve">Confirm axis drives accept analog ±10 V and encoders are compatible</t>
  </si>
  <si>
    <t xml:space="preserve">DIN rail / panel near drives and PC</t>
  </si>
  <si>
    <t xml:space="preserve">7i77 has enough analog/encoder channels for X/Y/Z + spindle.</t>
  </si>
  <si>
    <t xml:space="preserve">Field I/O</t>
  </si>
  <si>
    <t xml:space="preserve">Mesa 7i84 remote 24 V digital I/O card or equivalent</t>
  </si>
  <si>
    <t xml:space="preserve">ATC, hydraulic, coolant, air blast, utility I/O near breakout board</t>
  </si>
  <si>
    <t xml:space="preserve">Count actual inputs/outputs and coil current requirements</t>
  </si>
  <si>
    <t xml:space="preserve">Near green YM VQC-20-40/50 breakout PCB</t>
  </si>
  <si>
    <t xml:space="preserve">May need second 7i84 or 7i70/7i71 if I/O count grows.</t>
  </si>
  <si>
    <t xml:space="preserve">Mesa 7i85 or 7i85S expansion card</t>
  </si>
  <si>
    <t xml:space="preserve">Extra encoders / future stepgen / 4th axis / handwheel</t>
  </si>
  <si>
    <t xml:space="preserve">Need for extra encoder channels beyond 7i77</t>
  </si>
  <si>
    <t xml:space="preserve">Near 7i77 / second 6i25 connector</t>
  </si>
  <si>
    <t xml:space="preserve">Not required for base 3-axis + spindle if 7i77 channels suffice.</t>
  </si>
  <si>
    <t xml:space="preserve">WHB04B-style wireless USB LinuxCNC pendant</t>
  </si>
  <si>
    <t xml:space="preserve">Jog, overrides, start/stop/home through LinuxCNC HAL</t>
  </si>
  <si>
    <t xml:space="preserve">Driver support for exact model/firmware</t>
  </si>
  <si>
    <t xml:space="preserve">USB receiver on extension near cabinet door</t>
  </si>
  <si>
    <t xml:space="preserve">No Mesa I/O required.</t>
  </si>
  <si>
    <t xml:space="preserve">24 VDC power supply, existing HR-11F-24 or new supply if load margin is insufficient</t>
  </si>
  <si>
    <t xml:space="preserve">Mesa field I/O, relay coils, sensors, control logic</t>
  </si>
  <si>
    <t xml:space="preserve">Measure existing 24 V load, inrush, added load, fusing</t>
  </si>
  <si>
    <t xml:space="preserve">Existing 24 V PSU area</t>
  </si>
  <si>
    <t xml:space="preserve">Existing is 24 VDC 5 A; may be kept if adequate.</t>
  </si>
  <si>
    <t xml:space="preserve">Power distribution</t>
  </si>
  <si>
    <t xml:space="preserve">DIN-rail fused terminal blocks / electronic circuit protectors for P24 branches</t>
  </si>
  <si>
    <t xml:space="preserve">As needed</t>
  </si>
  <si>
    <t xml:space="preserve">Fuse/protect Mesa I/O, sensors, relays, utility branches</t>
  </si>
  <si>
    <t xml:space="preserve">Branch count and current draw</t>
  </si>
  <si>
    <t xml:space="preserve">Near P24/G24 distribution and Mesa cards</t>
  </si>
  <si>
    <t xml:space="preserve">Measure before buying</t>
  </si>
  <si>
    <t xml:space="preserve">Plan separate fusing for controls, outputs, sensors, and relays.</t>
  </si>
  <si>
    <t xml:space="preserve">Terminals</t>
  </si>
  <si>
    <t xml:space="preserve">DIN rail, terminal blocks, jumpers, end stops, labels</t>
  </si>
  <si>
    <t xml:space="preserve">Panel-specific</t>
  </si>
  <si>
    <t xml:space="preserve">Clean landing of old field wiring and new Mesa wiring</t>
  </si>
  <si>
    <t xml:space="preserve">Available rail length, wire sizes, terminal count</t>
  </si>
  <si>
    <t xml:space="preserve">Former Mazatrol bay / breakout PCB area</t>
  </si>
  <si>
    <t xml:space="preserve">Include P24/G24 distribution and shield clamps.</t>
  </si>
  <si>
    <t xml:space="preserve">Wiring</t>
  </si>
  <si>
    <t xml:space="preserve">Shielded twisted-pair cable for analog commands and encoders</t>
  </si>
  <si>
    <t xml:space="preserve">Measure runs</t>
  </si>
  <si>
    <t xml:space="preserve">Low-noise ±10 V and encoder wiring</t>
  </si>
  <si>
    <t xml:space="preserve">Run lengths, conductor count, connector style</t>
  </si>
  <si>
    <t xml:space="preserve">Between drives/encoders and 7i77</t>
  </si>
  <si>
    <t xml:space="preserve">Keep analog/encoder away from contactor and motor power wiring.</t>
  </si>
  <si>
    <t xml:space="preserve">24 V control wire, ferrules, wire duct, wire markers, heat shrink labels</t>
  </si>
  <si>
    <t xml:space="preserve">Buy now</t>
  </si>
  <si>
    <t xml:space="preserve">Cabinet rewiring and documentation</t>
  </si>
  <si>
    <t xml:space="preserve">Wire gauge standards and color scheme</t>
  </si>
  <si>
    <t xml:space="preserve">All new cabinet wiring</t>
  </si>
  <si>
    <t xml:space="preserve">Label every old and new wire before removal.</t>
  </si>
  <si>
    <t xml:space="preserve">Interposing relays</t>
  </si>
  <si>
    <t xml:space="preserve">24 VDC interposing relay modules or relay sockets</t>
  </si>
  <si>
    <t xml:space="preserve">Drive coils/contactor loads that exceed Mesa output rating or need isolation</t>
  </si>
  <si>
    <t xml:space="preserve">Output coil currents, AC/DC loads, snubber needs</t>
  </si>
  <si>
    <t xml:space="preserve">Near 7i84 outputs / contactor coils</t>
  </si>
  <si>
    <t xml:space="preserve">Especially for coolant, hydraulic, solenoids, lamps, contactors.</t>
  </si>
  <si>
    <t xml:space="preserve">Protection</t>
  </si>
  <si>
    <t xml:space="preserve">Flyback diodes, RC snubbers, surge suppressors as appropriate</t>
  </si>
  <si>
    <t xml:space="preserve">Per coil/load</t>
  </si>
  <si>
    <t xml:space="preserve">Protect Mesa outputs and reduce cabinet noise</t>
  </si>
  <si>
    <t xml:space="preserve">Coil voltage AC/DC and existing suppression</t>
  </si>
  <si>
    <t xml:space="preserve">At coils or relay modules</t>
  </si>
  <si>
    <t xml:space="preserve">Do not put DC diode across AC coils.</t>
  </si>
  <si>
    <t xml:space="preserve">Safety relay / contactor interface if original estop chain is being reworked</t>
  </si>
  <si>
    <t xml:space="preserve">Hardware-level estop and drive power removal</t>
  </si>
  <si>
    <t xml:space="preserve">Existing estop/door chain architecture</t>
  </si>
  <si>
    <t xml:space="preserve">Safety/control section</t>
  </si>
  <si>
    <t xml:space="preserve">LinuxCNC/Mesa should monitor safety; hardware chain should remove hazardous power.</t>
  </si>
  <si>
    <t xml:space="preserve">Mechanical</t>
  </si>
  <si>
    <t xml:space="preserve">PC mounting tray/brackets, filtered fan/airflow parts if needed</t>
  </si>
  <si>
    <t xml:space="preserve">Secure tower PC inside former Mazatrol bay with adequate airflow</t>
  </si>
  <si>
    <t xml:space="preserve">Cabinet bay dimensions, door clearance, cooling path</t>
  </si>
  <si>
    <t xml:space="preserve">Former Mazatrol rack bay</t>
  </si>
  <si>
    <t xml:space="preserve">Protect PC from chips/oil/coolant mist and vibration.</t>
  </si>
  <si>
    <t xml:space="preserve">Cabling</t>
  </si>
  <si>
    <t xml:space="preserve">50-pin IDC/ribbon cables and Mesa-compatible connectors</t>
  </si>
  <si>
    <t xml:space="preserve">Connect 6i25 to daughtercards</t>
  </si>
  <si>
    <t xml:space="preserve">Exact card stack and cable length limits</t>
  </si>
  <si>
    <t xml:space="preserve">PC to DIN/panel cards</t>
  </si>
  <si>
    <t xml:space="preserve">Keep short and mechanically protected.</t>
  </si>
  <si>
    <t xml:space="preserve">Cabinet Wiring Notes and Cut-over Plan</t>
  </si>
  <si>
    <t xml:space="preserve">Practical notes for planning cabinet work. Treat as a working checklist to update as measurements and terminal labels are confirmed.</t>
  </si>
  <si>
    <t xml:space="preserve">Phase</t>
  </si>
  <si>
    <t xml:space="preserve">Task / Note</t>
  </si>
  <si>
    <t xml:space="preserve">Why it matters</t>
  </si>
  <si>
    <t xml:space="preserve">Affected Sheets</t>
  </si>
  <si>
    <t xml:space="preserve">Document before removal</t>
  </si>
  <si>
    <t xml:space="preserve">Photograph every Mazatrol rack connector, green breakout PCB plug, drive terminal strip, HR-11F-24 terminal, and terminal strip before unplugging.</t>
  </si>
  <si>
    <t xml:space="preserve">Lets each original function find a new Mesa landing point and protects against lost wire identity.</t>
  </si>
  <si>
    <t xml:space="preserve">IO_Master, 24V_Terminals</t>
  </si>
  <si>
    <t xml:space="preserve">Include wire numbers and pulled-back photos showing destination.</t>
  </si>
  <si>
    <t xml:space="preserve">Labeling</t>
  </si>
  <si>
    <t xml:space="preserve">Apply wire markers to both ends of every moved conductor; record terminal strip ID/position and old connector pin if known.</t>
  </si>
  <si>
    <t xml:space="preserve">The workbook becomes the source of truth for HAL and wiring.</t>
  </si>
  <si>
    <t xml:space="preserve">Add columns if you want Old Connector / New Terminal detail.</t>
  </si>
  <si>
    <t xml:space="preserve">Keep existing main power distribution, contactors, transformers, FR-SX drive, servo drives, and 24 V supply intact until individually traced.</t>
  </si>
  <si>
    <t xml:space="preserve">Retrofit replaces Mazatrol logic, not the whole machine electrical system.</t>
  </si>
  <si>
    <t xml:space="preserve">24V_Terminals, Parts_List</t>
  </si>
  <si>
    <t xml:space="preserve">Measure 24 V load before deciding whether to replace HR-11F-24.</t>
  </si>
  <si>
    <t xml:space="preserve">PC install</t>
  </si>
  <si>
    <t xml:space="preserve">Mount the tower PC where the Mazatrol rack was, with service clearance, strain relief, airflow, and protected cable routing.</t>
  </si>
  <si>
    <t xml:space="preserve">PCIe Mesa works best with the PC in/near cabinet and short internal cables.</t>
  </si>
  <si>
    <t xml:space="preserve">Parts_List, Unknowns_Measure</t>
  </si>
  <si>
    <t xml:space="preserve">Check door closure, vibration, coolant mist exposure, grounding.</t>
  </si>
  <si>
    <t xml:space="preserve">Mesa layout</t>
  </si>
  <si>
    <t xml:space="preserve">Mount 7i77 near drive/encoder wiring and 7i84 near the green breakout PCB/field I/O area.</t>
  </si>
  <si>
    <t xml:space="preserve">Keeps analog/encoder runs short and bulk ATC wiring localized.</t>
  </si>
  <si>
    <t xml:space="preserve">7i77_Axis_Safety, 7i84_ATC_Utility</t>
  </si>
  <si>
    <t xml:space="preserve">Separate low-level analog/encoder wiring from solenoid/contactor wiring.</t>
  </si>
  <si>
    <t xml:space="preserve">Motion wiring</t>
  </si>
  <si>
    <t xml:space="preserve">Move Mazatrol analog command, encoder, drive enable, and drive fault lines to the 7i77 only after terminal functions are confirmed.</t>
  </si>
  <si>
    <t xml:space="preserve">Incorrect polarity or scaling can cause runaway motion.</t>
  </si>
  <si>
    <t xml:space="preserve">Motion_Axes, Analog_Encoder</t>
  </si>
  <si>
    <t xml:space="preserve">First verify encoder counts with drives disabled.</t>
  </si>
  <si>
    <t xml:space="preserve">Field I/O wiring</t>
  </si>
  <si>
    <t xml:space="preserve">Move solenoids, prox switches, pressure switches, coolant, and air outputs to the 7i84/interposing relays one subsystem at a time.</t>
  </si>
  <si>
    <t xml:space="preserve">Simplifies testing and avoids coupling ATC errors to axis bring-up.</t>
  </si>
  <si>
    <t xml:space="preserve">Verify coil current and voltage before direct Mesa output use.</t>
  </si>
  <si>
    <t xml:space="preserve">Preserve a hardware estop chain that removes hazardous power; use Mesa/LinuxCNC to monitor and request enables, not as the sole safety device.</t>
  </si>
  <si>
    <t xml:space="preserve">Software alone is not a safety chain.</t>
  </si>
  <si>
    <t xml:space="preserve">7i77_Axis_Safety, Parts_List</t>
  </si>
  <si>
    <t xml:space="preserve">Consider safety relay if original chain is reworked.</t>
  </si>
  <si>
    <t xml:space="preserve">Grounding/shields</t>
  </si>
  <si>
    <t xml:space="preserve">Terminate encoder/analog shields consistently at the cabinet/control end unless the drive manual says otherwise; keep 0 V returns tied to the original common/star point.</t>
  </si>
  <si>
    <t xml:space="preserve">Reduces noise and avoids ground loops.</t>
  </si>
  <si>
    <t xml:space="preserve">Analog_Encoder, 24V_Terminals</t>
  </si>
  <si>
    <t xml:space="preserve">Document every shield drain landing.</t>
  </si>
  <si>
    <t xml:space="preserve">Bring-up</t>
  </si>
  <si>
    <t xml:space="preserve">Bring up in order: power and I/O visibility, encoder counts, drive enables, single-axis jogs, spindle low-speed, limits/home, then ATC dry-run.</t>
  </si>
  <si>
    <t xml:space="preserve">Finds wiring errors before higher-energy functions are enabled.</t>
  </si>
  <si>
    <t xml:space="preserve">Motion_Axes, IO_Master</t>
  </si>
  <si>
    <t xml:space="preserve">Use low speeds and no tool/load during first ATC tests.</t>
  </si>
  <si>
    <t xml:space="preserve">Unknowns and Measurements Still Needed</t>
  </si>
  <si>
    <t xml:space="preserve">Use this as the measurement punch list before final ordering, drilling, and live machine bring-up.</t>
  </si>
  <si>
    <t xml:space="preserve">Unknown / Measurement</t>
  </si>
  <si>
    <t xml:space="preserve">Why Needed</t>
  </si>
  <si>
    <t xml:space="preserve">How to Check</t>
  </si>
  <si>
    <t xml:space="preserve">Blocks Purchase / Work</t>
  </si>
  <si>
    <t xml:space="preserve">Owner / Date</t>
  </si>
  <si>
    <t xml:space="preserve">Axis servo drive command type and scaling</t>
  </si>
  <si>
    <t xml:space="preserve">Confirms whether 7i77 ±10 V outputs can directly command X/Y/Z drives.</t>
  </si>
  <si>
    <t xml:space="preserve">Read drive model/terminal labels/manual; meter original command during safe conditions if possible.</t>
  </si>
  <si>
    <t xml:space="preserve">Mesa 7i77 final purchase and HAL scaling</t>
  </si>
  <si>
    <t xml:space="preserve">Do before wiring AO0-AO2.</t>
  </si>
  <si>
    <t xml:space="preserve">Encoder type, supply voltage, pinout, and counts/rev for X/Y/Z</t>
  </si>
  <si>
    <t xml:space="preserve">Confirms 7i77 encoder compatibility and scale values.</t>
  </si>
  <si>
    <t xml:space="preserve">Photo nameplates/connectors; trace A/B/Z; scope or meter outputs; check original manual.</t>
  </si>
  <si>
    <t xml:space="preserve">Encoder cabling, HAL scale, live motion</t>
  </si>
  <si>
    <t xml:space="preserve">Verify differential vs single-ended.</t>
  </si>
  <si>
    <t xml:space="preserve">Spindle FR-SX command mode, analog speed range, direction/run terminals</t>
  </si>
  <si>
    <t xml:space="preserve">Determines AO3 scaling and DO wiring.</t>
  </si>
  <si>
    <t xml:space="preserve">Read FR-SX terminal strip/manual; record terminal labels; measure original analog range if possible.</t>
  </si>
  <si>
    <t xml:space="preserve">Spindle wiring and HAL</t>
  </si>
  <si>
    <t xml:space="preserve">Also confirm zero-speed/at-speed outputs.</t>
  </si>
  <si>
    <t xml:space="preserve">Existing estop, door, servo-on, and ready-chain architecture</t>
  </si>
  <si>
    <t xml:space="preserve">Safety chain must remain hardware-safe after Mazatrol removal.</t>
  </si>
  <si>
    <t xml:space="preserve">Trace estop/door contacts, safety relay/contactors, servo contactor coil path.</t>
  </si>
  <si>
    <t xml:space="preserve">Safety relay/contactors/interposing relay decisions</t>
  </si>
  <si>
    <t xml:space="preserve">Do not assume software estop is sufficient.</t>
  </si>
  <si>
    <t xml:space="preserve">24 VDC supply load and available headroom</t>
  </si>
  <si>
    <t xml:space="preserve">Existing HR-11F-24 is 24 V/5 A; added Mesa I/O/relays may exceed margin.</t>
  </si>
  <si>
    <t xml:space="preserve">Measure load current with machine powered; estimate added loads; inspect existing fusing.</t>
  </si>
  <si>
    <t xml:space="preserve">PSU replacement and fused terminal sizing</t>
  </si>
  <si>
    <t xml:space="preserve">Keep P24/G24 documented.</t>
  </si>
  <si>
    <t xml:space="preserve">Solenoid/contactor coil voltage and current for ATC, coolant, hydraulic outputs</t>
  </si>
  <si>
    <t xml:space="preserve">Determines whether Mesa outputs can drive directly or need relays/snubbers.</t>
  </si>
  <si>
    <t xml:space="preserve">Read coil labels, measure resistance/current, check AC vs DC.</t>
  </si>
  <si>
    <t xml:space="preserve">7i84 output wiring, relay modules, suppression</t>
  </si>
  <si>
    <t xml:space="preserve">Use interposing relays if in doubt.</t>
  </si>
  <si>
    <t xml:space="preserve">Magazine tool-bit count and PRS-21...25 mapping</t>
  </si>
  <si>
    <t xml:space="preserve">Defines ATC tool-number decode logic.</t>
  </si>
  <si>
    <t xml:space="preserve">Rotate magazine manually/safely and record PRS bit pattern for each pocket.</t>
  </si>
  <si>
    <t xml:space="preserve">ATC HAL/component logic</t>
  </si>
  <si>
    <t xml:space="preserve">Confirm PRS-25 used/not used.</t>
  </si>
  <si>
    <t xml:space="preserve">PRS-8/9, PRS-10/12, PRS-13 actual normal states</t>
  </si>
  <si>
    <t xml:space="preserve">Correct clamp, gear, and magazine interlocks.</t>
  </si>
  <si>
    <t xml:space="preserve">Meter each prox/switch in both states; record active high/low.</t>
  </si>
  <si>
    <t xml:space="preserve">ATC/hydraulic logic</t>
  </si>
  <si>
    <t xml:space="preserve">Y/Z ATC zone switches existence and labels</t>
  </si>
  <si>
    <t xml:space="preserve">ATC must know axes are in safe tool-change position.</t>
  </si>
  <si>
    <t xml:space="preserve">Trace from manual/photo labels; move axes with machine safe and watch signals.</t>
  </si>
  <si>
    <t xml:space="preserve">ATC dry-run</t>
  </si>
  <si>
    <t xml:space="preserve">Can be software limits plus physical confirmation if present.</t>
  </si>
  <si>
    <t xml:space="preserve">Cabinet space for PC, 7i77, 7i84, terminal blocks, wire duct</t>
  </si>
  <si>
    <t xml:space="preserve">Determines DIN rail, duct, cable length, and mounting hardware.</t>
  </si>
  <si>
    <t xml:space="preserve">Measure bay width/height/depth, door swing, service clearance, airflow path.</t>
  </si>
  <si>
    <t xml:space="preserve">DIN rail, wire duct, PC brackets</t>
  </si>
  <si>
    <t xml:space="preserve">Existing green breakout PCB connector pinout</t>
  </si>
  <si>
    <t xml:space="preserve">Could reuse as junction or replace with terminal blocks.</t>
  </si>
  <si>
    <t xml:space="preserve">Photograph connector labels, continuity trace to terminal strips/field devices.</t>
  </si>
  <si>
    <t xml:space="preserve">Harness strategy</t>
  </si>
  <si>
    <t xml:space="preserve">Board labeled YM VQC-20-40/50 in notes.</t>
  </si>
  <si>
    <t xml:space="preserve">Pendant exact model/driver compatibility</t>
  </si>
  <si>
    <t xml:space="preserve">Avoids buying a pendant with poor LinuxCNC support.</t>
  </si>
  <si>
    <t xml:space="preserve">Choose exact WHB04B model and verify LinuxCNC driver/HAL pins.</t>
  </si>
  <si>
    <t xml:space="preserve">Pendant purchase only</t>
  </si>
  <si>
    <t xml:space="preserve">Source References and Confidence Notes</t>
  </si>
  <si>
    <t xml:space="preserve">Local prior-session sources used for this workbook. These are workspace references, not external documents.</t>
  </si>
  <si>
    <t xml:space="preserve">Source</t>
  </si>
  <si>
    <t xml:space="preserve">Lines / Location</t>
  </si>
  <si>
    <t xml:space="preserve">What was extracted</t>
  </si>
  <si>
    <t xml:space="preserve">Confidence</t>
  </si>
  <si>
    <t xml:space="preserve">past_session_contexts/sessions/2026-05-25_2026-05-31/2af3baab/conversation.md</t>
  </si>
  <si>
    <t xml:space="preserve">103-130</t>
  </si>
  <si>
    <t xml:space="preserve">Keep original servos/spindle/encoders; PCIe Mesa + analog/encoder daughtercards; field I/O groups.</t>
  </si>
  <si>
    <t xml:space="preserve">Some drive signal details were inferred pending model/terminal verification.</t>
  </si>
  <si>
    <t xml:space="preserve">141-159, 170-205</t>
  </si>
  <si>
    <t xml:space="preserve">Mitsubishi DC servos, FR-SX spindle drive, toolchanger/hydraulics, green breakout PCB, solenoid/prox groups.</t>
  </si>
  <si>
    <t xml:space="preserve">Photo-based interpretation; verify terminal labels.</t>
  </si>
  <si>
    <t xml:space="preserve">228-271</t>
  </si>
  <si>
    <t xml:space="preserve">All-at-once cutover plan, 6i25/7i77-class card concept, analog/spindle/field I/O counts.</t>
  </si>
  <si>
    <t xml:space="preserve">Exact Mesa model availability should be checked before ordering.</t>
  </si>
  <si>
    <t xml:space="preserve">283-399</t>
  </si>
  <si>
    <t xml:space="preserve">Initial logical I/O map: AO0-AO5, ENC0-ENC5, drive faults/enables, homes/limits, ATC, gear, magazine, coolant, panel.</t>
  </si>
  <si>
    <t xml:space="preserve">Logical map, not confirmed physical pinout.</t>
  </si>
  <si>
    <t xml:space="preserve">408-455</t>
  </si>
  <si>
    <t xml:space="preserve">6i25 + 7i77 fit, optional 7i85, 7i84 for bulk I/O near breakout board.</t>
  </si>
  <si>
    <t xml:space="preserve">Part numbers should be verified with current Mesa catalog.</t>
  </si>
  <si>
    <t xml:space="preserve">464-575</t>
  </si>
  <si>
    <t xml:space="preserve">7i77 critical I/O split, 7i84 ATC/hydraulic/coolant split, WHB04B pendant integration.</t>
  </si>
  <si>
    <t xml:space="preserve">Useful for cabinet layout.</t>
  </si>
  <si>
    <t xml:space="preserve">584-814</t>
  </si>
  <si>
    <t xml:space="preserve">CSV-style starter I/O rows and encoder/analog rows used as base table content.</t>
  </si>
  <si>
    <t xml:space="preserve">Rows imported and expanded into workbook with verification/status columns.</t>
  </si>
  <si>
    <t xml:space="preserve">past_session_contexts/sessions/2026-06-01_2026-06-07/ea226a32/conversation.md</t>
  </si>
  <si>
    <t xml:space="preserve">17-26, 37-60, 69-112</t>
  </si>
  <si>
    <t xml:space="preserve">HR-11F-24 PSU terminal labels, P24/G24 distribution, terminal-list column recommendations, labels INHRLS/DEC2/CH4.</t>
  </si>
  <si>
    <t xml:space="preserve">Photo-based; trace before disturbing PSU or terminal strip.</t>
  </si>
  <si>
    <t xml:space="preserve">past_session_contexts/sessions/2026-05-25_2026-05-31/fe3144f4/conversation.md</t>
  </si>
  <si>
    <t xml:space="preserve">9-33</t>
  </si>
  <si>
    <t xml:space="preserve">Overall goal: Mazak-to-Mesa-to-LinuxCNC retrofit and need for HAL/INI/I/O map work.</t>
  </si>
  <si>
    <t xml:space="preserve">Context only.</t>
  </si>
  <si>
    <t xml:space="preserve">Current conversation decision</t>
  </si>
  <si>
    <t xml:space="preserve">2026-06-01</t>
  </si>
  <si>
    <t xml:space="preserve">User agreed tower PC with PCIe Mesa in cabinet is the selected architecture.</t>
  </si>
  <si>
    <t xml:space="preserve">Workbook and skeleton package updated to treat Ethernet/laptop as fallback only.</t>
  </si>
  <si>
    <t xml:space="preserve">Current conversation task</t>
  </si>
  <si>
    <t xml:space="preserve">Added Mesa firmware checklist for selected PCIe cabinet-tower architecture.</t>
  </si>
  <si>
    <t xml:space="preserve">Use this sheet to collect exact card, firmware, readhmid, and HAL pin outputs before finalizing skeleton files.</t>
  </si>
  <si>
    <t xml:space="preserve">Added cabinet photo checklist for Mesa ordering and HAL finalization.</t>
  </si>
  <si>
    <t xml:space="preserve">Checklist focuses on photos needed to confirm PCIe Mesa architecture and wiring details.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</si>
</sst>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1B474D"/>
        <bgColor rgb="FF003366"/>
      </patternFill>
    </fill>
    <fill>
      <patternFill patternType="solid">
        <fgColor rgb="FFDDEEEF"/>
        <bgColor rgb="FFE2F0D9"/>
      </patternFill>
    </fill>
    <fill>
      <patternFill patternType="solid">
        <fgColor rgb="FFE2F0D9"/>
        <bgColor rgb="FFDDEEE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B47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C0C0C0"/>
      <rgbColor rgb="FF808080"/>
      <rgbColor rgb="FF9999FF"/>
      <rgbColor rgb="FF993366"/>
      <rgbColor rgb="FFFFF2CC"/>
      <rgbColor rgb="FFDDEE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7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nalogEncoder" displayName="AnalogEncoder" ref="B5:K17" headerRowCount="1" totalsRowCount="0" totalsRowShown="0">
  <autoFilter ref="B5:K17"/>
  <tableColumns count="10">
    <tableColumn id="1" name="Channel"/>
    <tableColumn id="2" name="Axis / Device"/>
    <tableColumn id="3" name="Signal Type"/>
    <tableColumn id="4" name="Signal Pair / Terminals"/>
    <tableColumn id="5" name="Machine Origin / Destination"/>
    <tableColumn id="6" name="Mesa Card"/>
    <tableColumn id="7" name="LinuxCNC HAL Net"/>
    <tableColumn id="8" name="Status"/>
    <tableColumn id="9" name="Measurement Needed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rchitectureDecision" displayName="ArchitectureDecision" ref="B5:H12" headerRowCount="1" totalsRowCount="0" totalsRowShown="0">
  <autoFilter ref="B5:H12"/>
  <tableColumns count="7">
    <tableColumn id="1" name="Decision Area"/>
    <tableColumn id="2" name="Selected Path"/>
    <tableColumn id="3" name="Why"/>
    <tableColumn id="4" name="Cabinet / Wiring Impact"/>
    <tableColumn id="5" name="Workbook Impact"/>
    <tableColumn id="6" name="Status"/>
    <tableColumn id="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TCUtility7i84" displayName="ATCUtility7i84" ref="B5:N36" headerRowCount="1" totalsRowCount="0" totalsRowShown="0">
  <autoFilter ref="B5:N36"/>
  <tableColumns count="13">
    <tableColumn id="1" name="Machine Signal Name"/>
    <tableColumn id="2" name="Mazak Label / Drawing Ref"/>
    <tableColumn id="3" name="Subsystem"/>
    <tableColumn id="4" name="Function"/>
    <tableColumn id="5" name="Normal State / Type"/>
    <tableColumn id="6" name="Direction"/>
    <tableColumn id="7" name="Mesa Card"/>
    <tableColumn id="8" name="Mesa Conn"/>
    <tableColumn id="9" name="Mesa Bit / Channel"/>
    <tableColumn id="10" name="LinuxCNC HAL Net"/>
    <tableColumn id="11" name="Cabinet Landing / Origin"/>
    <tableColumn id="12" name="Status"/>
    <tableColumn id="13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xisSafety7i77" displayName="AxisSafety7i77" ref="B5:N49" headerRowCount="1" totalsRowCount="0" totalsRowShown="0">
  <autoFilter ref="B5:N49"/>
  <tableColumns count="13">
    <tableColumn id="1" name="Machine Signal Name"/>
    <tableColumn id="2" name="Mazak Label / Drawing Ref"/>
    <tableColumn id="3" name="Subsystem"/>
    <tableColumn id="4" name="Function"/>
    <tableColumn id="5" name="Normal State / Type"/>
    <tableColumn id="6" name="Direction"/>
    <tableColumn id="7" name="Mesa Card"/>
    <tableColumn id="8" name="Mesa Conn"/>
    <tableColumn id="9" name="Mesa Bit / Channel"/>
    <tableColumn id="10" name="LinuxCNC HAL Net"/>
    <tableColumn id="11" name="Cabinet Landing / Origin"/>
    <tableColumn id="12" name="Status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OMaster" displayName="IOMaster" ref="B5:N88" headerRowCount="1" totalsRowCount="0" totalsRowShown="0">
  <autoFilter ref="B5:N88"/>
  <tableColumns count="13">
    <tableColumn id="1" name="Machine Signal Name"/>
    <tableColumn id="2" name="Mazak Label / Drawing Ref"/>
    <tableColumn id="3" name="Subsystem"/>
    <tableColumn id="4" name="Function"/>
    <tableColumn id="5" name="Normal State / Type"/>
    <tableColumn id="6" name="Direction"/>
    <tableColumn id="7" name="Mesa Card"/>
    <tableColumn id="8" name="Mesa Conn"/>
    <tableColumn id="9" name="Mesa Bit / Channel"/>
    <tableColumn id="10" name="LinuxCNC HAL Net"/>
    <tableColumn id="11" name="Cabinet Landing / Origin"/>
    <tableColumn id="12" name="Status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esaFirmwareChecklist" displayName="MesaFirmwareChecklist" ref="B5:K26" headerRowCount="1" totalsRowCount="0" totalsRowShown="0">
  <autoFilter ref="B5:K26"/>
  <tableColumns count="10">
    <tableColumn id="1" name="Group"/>
    <tableColumn id="2" name="Item to Find / Record"/>
    <tableColumn id="3" name="Why It Matters"/>
    <tableColumn id="4" name="Expected / Current Plan"/>
    <tableColumn id="5" name="Your Value"/>
    <tableColumn id="6" name="How to Get It"/>
    <tableColumn id="7" name="Command / Place to Look"/>
    <tableColumn id="8" name="Blocks"/>
    <tableColumn id="9" name="Status"/>
    <tableColumn id="10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tionAxes" displayName="MotionAxes" ref="B5:K11" headerRowCount="1" totalsRowCount="0" totalsRowShown="0">
  <autoFilter ref="B5:K11"/>
  <tableColumns count="10">
    <tableColumn id="1" name="Axis / Device"/>
    <tableColumn id="2" name="Control Type"/>
    <tableColumn id="3" name="Command Channel"/>
    <tableColumn id="4" name="Feedback Channel"/>
    <tableColumn id="5" name="Existing Hardware"/>
    <tableColumn id="6" name="LinuxCNC Requirement"/>
    <tableColumn id="7" name="Interlocks / Dependencies"/>
    <tableColumn id="8" name="Bring-up Test"/>
    <tableColumn id="9" name="Status"/>
    <tableColumn id="10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artsList" displayName="PartsList" ref="B5:J20" headerRowCount="1" totalsRowCount="0" totalsRowShown="0">
  <autoFilter ref="B5:J20"/>
  <tableColumns count="9">
    <tableColumn id="1" name="Category"/>
    <tableColumn id="2" name="Part / Description"/>
    <tableColumn id="3" name="Suggested Qty"/>
    <tableColumn id="4" name="Buy Priority"/>
    <tableColumn id="5" name="Purpose"/>
    <tableColumn id="6" name="Depends On / Verify First"/>
    <tableColumn id="7" name="Cabinet Location"/>
    <tableColumn id="8" name="Status"/>
    <tableColumn id="9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PhotoChecklist" displayName="PhotoChecklist" ref="B5:H24" headerRowCount="1" totalsRowCount="0" totalsRowShown="0">
  <autoFilter ref="B5:H24"/>
  <tableColumns count="7">
    <tableColumn id="1" name="Priority"/>
    <tableColumn id="2" name="Photo / Area"/>
    <tableColumn id="3" name="What to Capture"/>
    <tableColumn id="4" name="Why It Matters"/>
    <tableColumn id="5" name="Suggested File Name"/>
    <tableColumn id="6" name="Done"/>
    <tableColumn id="7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ower24V" displayName="Power24V" ref="B5:J19" headerRowCount="1" totalsRowCount="0" totalsRowShown="0">
  <autoFilter ref="B5:J19"/>
  <tableColumns count="9">
    <tableColumn id="1" name="Terminal / Label"/>
    <tableColumn id="2" name="Device / Strip"/>
    <tableColumn id="3" name="Function"/>
    <tableColumn id="4" name="Expected Voltage / Type"/>
    <tableColumn id="5" name="From"/>
    <tableColumn id="6" name="To"/>
    <tableColumn id="7" name="Do / Do Not"/>
    <tableColumn id="8" name="Status"/>
    <tableColumn id="9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README_Table" displayName="README_Table" ref="B5:C15" headerRowCount="1" totalsRowCount="0" totalsRowShown="0">
  <autoFilter ref="B5:C15"/>
  <tableColumns count="2">
    <tableColumn id="1" name="Sheet"/>
    <tableColumn id="2" name="Us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SourceRefs" displayName="SourceRefs" ref="B5:F14" headerRowCount="1" totalsRowCount="0" totalsRowShown="0">
  <autoFilter ref="B5:F14"/>
  <tableColumns count="5">
    <tableColumn id="1" name="Source"/>
    <tableColumn id="2" name="Lines / Location"/>
    <tableColumn id="3" name="What was extracted"/>
    <tableColumn id="4" name="Confidence"/>
    <tableColumn id="5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UnknownsMeasure" displayName="UnknownsMeasure" ref="B5:I17" headerRowCount="1" totalsRowCount="0" totalsRowShown="0">
  <autoFilter ref="B5:I17"/>
  <tableColumns count="8">
    <tableColumn id="1" name="Priority"/>
    <tableColumn id="2" name="Unknown / Measurement"/>
    <tableColumn id="3" name="Why Needed"/>
    <tableColumn id="4" name="How to Check"/>
    <tableColumn id="5" name="Blocks Purchase / Work"/>
    <tableColumn id="6" name="Owner / Date"/>
    <tableColumn id="7" name="Status"/>
    <tableColumn id="8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WiringNotes" displayName="WiringNotes" ref="B5:G15" headerRowCount="1" totalsRowCount="0" totalsRowShown="0">
  <autoFilter ref="B5:G15"/>
  <tableColumns count="6">
    <tableColumn id="1" name="Phase"/>
    <tableColumn id="2" name="Task / Note"/>
    <tableColumn id="3" name="Why it matters"/>
    <tableColumn id="4" name="Affected Sheets"/>
    <tableColumn id="5" name="Status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table" Target="../tables/table1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table" Target="../tables/table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8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0</v>
      </c>
      <c r="C2" s="2"/>
      <c r="D2" s="2"/>
      <c r="E2" s="2"/>
      <c r="F2" s="2"/>
      <c r="G2" s="2"/>
      <c r="H2" s="2"/>
    </row>
    <row r="3" customFormat="false" ht="27.75" hidden="false" customHeight="true" outlineLevel="0" collapsed="false">
      <c r="B3" s="3" t="s">
        <v>1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2</v>
      </c>
      <c r="C5" s="4" t="s">
        <v>3</v>
      </c>
    </row>
    <row r="6" customFormat="false" ht="27.75" hidden="false" customHeight="true" outlineLevel="0" collapsed="false">
      <c r="B6" s="5" t="s">
        <v>4</v>
      </c>
      <c r="C6" s="6" t="s">
        <v>5</v>
      </c>
    </row>
    <row r="7" customFormat="false" ht="27.75" hidden="false" customHeight="true" outlineLevel="0" collapsed="false">
      <c r="B7" s="5" t="s">
        <v>6</v>
      </c>
      <c r="C7" s="6" t="s">
        <v>7</v>
      </c>
    </row>
    <row r="8" customFormat="false" ht="27.75" hidden="false" customHeight="true" outlineLevel="0" collapsed="false">
      <c r="B8" s="6" t="s">
        <v>8</v>
      </c>
      <c r="C8" s="6" t="s">
        <v>9</v>
      </c>
    </row>
    <row r="9" customFormat="false" ht="27.75" hidden="false" customHeight="true" outlineLevel="0" collapsed="false">
      <c r="B9" s="6" t="s">
        <v>10</v>
      </c>
      <c r="C9" s="6" t="s">
        <v>11</v>
      </c>
    </row>
    <row r="10" customFormat="false" ht="27.75" hidden="false" customHeight="true" outlineLevel="0" collapsed="false">
      <c r="B10" s="5" t="s">
        <v>12</v>
      </c>
      <c r="C10" s="6" t="s">
        <v>13</v>
      </c>
    </row>
    <row r="11" customFormat="false" ht="27.75" hidden="false" customHeight="true" outlineLevel="0" collapsed="false">
      <c r="B11" s="5" t="s">
        <v>14</v>
      </c>
      <c r="C11" s="6" t="s">
        <v>15</v>
      </c>
    </row>
    <row r="12" customFormat="false" ht="27.75" hidden="false" customHeight="true" outlineLevel="0" collapsed="false">
      <c r="B12" s="5" t="s">
        <v>16</v>
      </c>
      <c r="C12" s="6" t="s">
        <v>17</v>
      </c>
    </row>
    <row r="13" customFormat="false" ht="27.75" hidden="false" customHeight="true" outlineLevel="0" collapsed="false">
      <c r="B13" s="5" t="s">
        <v>18</v>
      </c>
      <c r="C13" s="6" t="s">
        <v>19</v>
      </c>
    </row>
    <row r="14" customFormat="false" ht="27.75" hidden="false" customHeight="true" outlineLevel="0" collapsed="false">
      <c r="B14" s="6" t="s">
        <v>20</v>
      </c>
      <c r="C14" s="6" t="s">
        <v>21</v>
      </c>
    </row>
    <row r="15" customFormat="false" ht="27.75" hidden="false" customHeight="true" outlineLevel="0" collapsed="false">
      <c r="B15" s="5" t="s">
        <v>22</v>
      </c>
      <c r="C15" s="6" t="s">
        <v>23</v>
      </c>
    </row>
    <row r="16" customFormat="false" ht="68.25" hidden="false" customHeight="true" outlineLevel="0" collapsed="false">
      <c r="B16" s="7" t="s">
        <v>24</v>
      </c>
      <c r="C16" s="7" t="s">
        <v>25</v>
      </c>
    </row>
    <row r="17" customFormat="false" ht="15" hidden="false" customHeight="true" outlineLevel="0" collapsed="false">
      <c r="B17" s="7" t="s">
        <v>26</v>
      </c>
      <c r="C17" s="7" t="s">
        <v>27</v>
      </c>
    </row>
    <row r="18" customFormat="false" ht="15" hidden="false" customHeight="true" outlineLevel="0" collapsed="false">
      <c r="B18" s="7" t="s">
        <v>28</v>
      </c>
      <c r="C18" s="7" t="s">
        <v>29</v>
      </c>
    </row>
    <row r="19" customFormat="false" ht="15" hidden="false" customHeight="false" outlineLevel="0" collapsed="false"/>
    <row r="21" customFormat="false" ht="15" hidden="false" customHeight="true" outlineLevel="0" collapsed="false">
      <c r="B21" s="8" t="s">
        <v>30</v>
      </c>
    </row>
    <row r="22" customFormat="false" ht="15" hidden="false" customHeight="true" outlineLevel="0" collapsed="false">
      <c r="B22" s="9" t="s">
        <v>31</v>
      </c>
      <c r="C22" s="10" t="n">
        <f aca="false">COUNTA(IO_Master!B6:B200)</f>
        <v>83</v>
      </c>
    </row>
    <row r="23" customFormat="false" ht="15" hidden="false" customHeight="true" outlineLevel="0" collapsed="false">
      <c r="B23" s="9" t="s">
        <v>32</v>
      </c>
      <c r="C23" s="10" t="n">
        <f aca="false">COUNTIF(IO_Master!H6:H200,"7i77")</f>
        <v>44</v>
      </c>
    </row>
    <row r="24" customFormat="false" ht="15" hidden="false" customHeight="true" outlineLevel="0" collapsed="false">
      <c r="B24" s="9" t="s">
        <v>33</v>
      </c>
      <c r="C24" s="10" t="n">
        <f aca="false">COUNTIF(IO_Master!H6:H200,"7i84")</f>
        <v>31</v>
      </c>
    </row>
    <row r="25" customFormat="false" ht="15" hidden="false" customHeight="true" outlineLevel="0" collapsed="false">
      <c r="B25" s="9" t="s">
        <v>34</v>
      </c>
      <c r="C25" s="10" t="n">
        <f aca="false">COUNTIF(IO_Master!M6:M200,"Verify in cabinet")+COUNTIF(IO_Master!M6:M200,"Measure before buying")</f>
        <v>39</v>
      </c>
    </row>
    <row r="26" customFormat="false" ht="15" hidden="false" customHeight="true" outlineLevel="0" collapsed="false">
      <c r="B26" s="9" t="s">
        <v>35</v>
      </c>
      <c r="C26" s="10" t="n">
        <f aca="false">COUNTIF(Parts_List!E6:E100,"Buy now")</f>
        <v>1</v>
      </c>
    </row>
    <row r="27" customFormat="false" ht="15" hidden="false" customHeight="false" outlineLevel="0" collapsed="false">
      <c r="B27" s="9" t="s">
        <v>36</v>
      </c>
      <c r="C27" s="10" t="n">
        <f aca="false">COUNTIF(Parts_List!E6:E100,"Buy after verification")+COUNTIF(Parts_List!E6:E100,"Measure before buying")</f>
        <v>12</v>
      </c>
    </row>
  </sheetData>
  <autoFilter ref="B5:C15"/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3" min="3" style="1" width="44"/>
    <col collapsed="false" customWidth="true" hidden="false" outlineLevel="0" max="5" min="4" style="1" width="48"/>
    <col collapsed="false" customWidth="true" hidden="false" outlineLevel="0" max="6" min="6" style="1" width="37"/>
    <col collapsed="false" customWidth="true" hidden="false" outlineLevel="0" max="7" min="7" style="1" width="12"/>
    <col collapsed="false" customWidth="true" hidden="false" outlineLevel="0" max="8" min="8" style="1" width="48"/>
  </cols>
  <sheetData>
    <row r="1" customFormat="false" ht="33.75" hidden="false" customHeight="true" outlineLevel="0" collapsed="false"/>
    <row r="2" customFormat="false" ht="27.75" hidden="false" customHeight="true" outlineLevel="0" collapsed="false">
      <c r="B2" s="11" t="s">
        <v>37</v>
      </c>
      <c r="C2" s="11"/>
      <c r="D2" s="11"/>
      <c r="E2" s="11"/>
      <c r="F2" s="11"/>
      <c r="G2" s="11"/>
      <c r="H2" s="11"/>
      <c r="I2" s="11"/>
    </row>
    <row r="3" customFormat="false" ht="33.75" hidden="false" customHeight="true" outlineLevel="0" collapsed="false">
      <c r="B3" s="3" t="s">
        <v>38</v>
      </c>
    </row>
    <row r="4" customFormat="false" ht="33.75" hidden="false" customHeight="true" outlineLevel="0" collapsed="false"/>
    <row r="5" customFormat="false" ht="33.75" hidden="false" customHeight="true" outlineLevel="0" collapsed="false"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</row>
    <row r="6" customFormat="false" ht="33.75" hidden="false" customHeight="true" outlineLevel="0" collapsed="false">
      <c r="B6" s="13" t="s">
        <v>46</v>
      </c>
      <c r="C6" s="13" t="s">
        <v>47</v>
      </c>
      <c r="D6" s="13" t="s">
        <v>48</v>
      </c>
      <c r="E6" s="13" t="s">
        <v>49</v>
      </c>
      <c r="F6" s="13" t="s">
        <v>50</v>
      </c>
      <c r="G6" s="13" t="s">
        <v>51</v>
      </c>
      <c r="H6" s="13" t="s">
        <v>52</v>
      </c>
    </row>
    <row r="7" customFormat="false" ht="33.75" hidden="false" customHeight="true" outlineLevel="0" collapsed="false">
      <c r="B7" s="13" t="s">
        <v>53</v>
      </c>
      <c r="C7" s="13" t="s">
        <v>54</v>
      </c>
      <c r="D7" s="13" t="s">
        <v>55</v>
      </c>
      <c r="E7" s="13" t="s">
        <v>56</v>
      </c>
      <c r="F7" s="13" t="s">
        <v>57</v>
      </c>
      <c r="G7" s="13" t="s">
        <v>51</v>
      </c>
      <c r="H7" s="13" t="s">
        <v>58</v>
      </c>
    </row>
    <row r="8" customFormat="false" ht="33.75" hidden="false" customHeight="true" outlineLevel="0" collapsed="false">
      <c r="B8" s="13" t="s">
        <v>59</v>
      </c>
      <c r="C8" s="13" t="s">
        <v>60</v>
      </c>
      <c r="D8" s="13" t="s">
        <v>61</v>
      </c>
      <c r="E8" s="13" t="s">
        <v>62</v>
      </c>
      <c r="F8" s="13" t="s">
        <v>63</v>
      </c>
      <c r="G8" s="13" t="s">
        <v>51</v>
      </c>
      <c r="H8" s="13" t="s">
        <v>64</v>
      </c>
    </row>
    <row r="9" customFormat="false" ht="33.75" hidden="false" customHeight="true" outlineLevel="0" collapsed="false">
      <c r="B9" s="13" t="s">
        <v>65</v>
      </c>
      <c r="C9" s="13" t="s">
        <v>66</v>
      </c>
      <c r="D9" s="13" t="s">
        <v>67</v>
      </c>
      <c r="E9" s="13" t="s">
        <v>68</v>
      </c>
      <c r="F9" s="13" t="s">
        <v>69</v>
      </c>
      <c r="G9" s="13" t="s">
        <v>51</v>
      </c>
      <c r="H9" s="13" t="s">
        <v>70</v>
      </c>
    </row>
    <row r="10" customFormat="false" ht="33.75" hidden="false" customHeight="true" outlineLevel="0" collapsed="false">
      <c r="B10" s="14" t="s">
        <v>71</v>
      </c>
      <c r="C10" s="14" t="s">
        <v>72</v>
      </c>
      <c r="D10" s="14" t="s">
        <v>73</v>
      </c>
      <c r="E10" s="14" t="s">
        <v>74</v>
      </c>
      <c r="F10" s="14" t="s">
        <v>75</v>
      </c>
      <c r="G10" s="14" t="s">
        <v>76</v>
      </c>
      <c r="H10" s="14" t="s">
        <v>77</v>
      </c>
    </row>
    <row r="11" customFormat="false" ht="33.75" hidden="false" customHeight="true" outlineLevel="0" collapsed="false">
      <c r="B11" s="14" t="s">
        <v>78</v>
      </c>
      <c r="C11" s="14" t="s">
        <v>79</v>
      </c>
      <c r="D11" s="14" t="s">
        <v>80</v>
      </c>
      <c r="E11" s="14" t="s">
        <v>81</v>
      </c>
      <c r="F11" s="14" t="s">
        <v>82</v>
      </c>
      <c r="G11" s="14" t="s">
        <v>76</v>
      </c>
      <c r="H11" s="14" t="s">
        <v>83</v>
      </c>
    </row>
    <row r="12" customFormat="false" ht="33.75" hidden="false" customHeight="true" outlineLevel="0" collapsed="false">
      <c r="B12" s="14" t="s">
        <v>84</v>
      </c>
      <c r="C12" s="14" t="s">
        <v>85</v>
      </c>
      <c r="D12" s="14" t="s">
        <v>86</v>
      </c>
      <c r="E12" s="14" t="s">
        <v>87</v>
      </c>
      <c r="F12" s="14" t="s">
        <v>88</v>
      </c>
      <c r="G12" s="14" t="s">
        <v>89</v>
      </c>
      <c r="H12" s="14" t="s">
        <v>90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"/>
    <col collapsed="false" customWidth="true" hidden="false" outlineLevel="0" max="3" min="3" style="1" width="32"/>
    <col collapsed="false" customWidth="true" hidden="false" outlineLevel="0" max="4" min="4" style="1" width="38"/>
    <col collapsed="false" customWidth="true" hidden="false" outlineLevel="0" max="5" min="5" style="1" width="32"/>
    <col collapsed="false" customWidth="true" hidden="false" outlineLevel="0" max="6" min="6" style="1" width="24"/>
    <col collapsed="false" customWidth="true" hidden="false" outlineLevel="0" max="7" min="7" style="1" width="36"/>
    <col collapsed="false" customWidth="true" hidden="false" outlineLevel="0" max="8" min="8" style="1" width="38"/>
    <col collapsed="false" customWidth="true" hidden="false" outlineLevel="0" max="9" min="9" style="1" width="24"/>
    <col collapsed="false" customWidth="true" hidden="false" outlineLevel="0" max="10" min="10" style="1" width="16"/>
    <col collapsed="false" customWidth="true" hidden="false" outlineLevel="0" max="11" min="11" style="1" width="36"/>
  </cols>
  <sheetData>
    <row r="1" customFormat="false" ht="42" hidden="false" customHeight="true" outlineLevel="0" collapsed="false"/>
    <row r="2" customFormat="false" ht="27.75" hidden="false" customHeight="true" outlineLevel="0" collapsed="false">
      <c r="B2" s="11" t="s">
        <v>91</v>
      </c>
      <c r="C2" s="11"/>
      <c r="D2" s="11"/>
      <c r="E2" s="11"/>
      <c r="F2" s="11"/>
      <c r="G2" s="11"/>
      <c r="H2" s="11"/>
      <c r="I2" s="11"/>
      <c r="J2" s="11"/>
      <c r="K2" s="11"/>
    </row>
    <row r="3" customFormat="false" ht="42" hidden="false" customHeight="true" outlineLevel="0" collapsed="false">
      <c r="B3" s="3" t="s">
        <v>92</v>
      </c>
    </row>
    <row r="4" customFormat="false" ht="42" hidden="false" customHeight="true" outlineLevel="0" collapsed="false"/>
    <row r="5" customFormat="false" ht="42" hidden="false" customHeight="true" outlineLevel="0" collapsed="false">
      <c r="B5" s="12" t="s">
        <v>93</v>
      </c>
      <c r="C5" s="12" t="s">
        <v>94</v>
      </c>
      <c r="D5" s="12" t="s">
        <v>95</v>
      </c>
      <c r="E5" s="12" t="s">
        <v>96</v>
      </c>
      <c r="F5" s="12" t="s">
        <v>97</v>
      </c>
      <c r="G5" s="12" t="s">
        <v>98</v>
      </c>
      <c r="H5" s="12" t="s">
        <v>99</v>
      </c>
      <c r="I5" s="12" t="s">
        <v>100</v>
      </c>
      <c r="J5" s="12" t="s">
        <v>44</v>
      </c>
      <c r="K5" s="12" t="s">
        <v>45</v>
      </c>
    </row>
    <row r="6" customFormat="false" ht="42" hidden="false" customHeight="true" outlineLevel="0" collapsed="false">
      <c r="B6" s="14" t="s">
        <v>101</v>
      </c>
      <c r="C6" s="14" t="s">
        <v>102</v>
      </c>
      <c r="D6" s="14" t="s">
        <v>103</v>
      </c>
      <c r="E6" s="14" t="s">
        <v>104</v>
      </c>
      <c r="F6" s="14"/>
      <c r="G6" s="14" t="s">
        <v>105</v>
      </c>
      <c r="H6" s="14" t="s">
        <v>106</v>
      </c>
      <c r="I6" s="14" t="s">
        <v>107</v>
      </c>
      <c r="J6" s="14" t="s">
        <v>108</v>
      </c>
      <c r="K6" s="14" t="s">
        <v>109</v>
      </c>
    </row>
    <row r="7" customFormat="false" ht="42" hidden="false" customHeight="true" outlineLevel="0" collapsed="false">
      <c r="B7" s="14" t="s">
        <v>101</v>
      </c>
      <c r="C7" s="14" t="s">
        <v>110</v>
      </c>
      <c r="D7" s="14" t="s">
        <v>111</v>
      </c>
      <c r="E7" s="14" t="s">
        <v>112</v>
      </c>
      <c r="F7" s="14"/>
      <c r="G7" s="14" t="s">
        <v>113</v>
      </c>
      <c r="H7" s="14" t="s">
        <v>114</v>
      </c>
      <c r="I7" s="14" t="s">
        <v>115</v>
      </c>
      <c r="J7" s="14" t="s">
        <v>108</v>
      </c>
      <c r="K7" s="14" t="s">
        <v>116</v>
      </c>
    </row>
    <row r="8" customFormat="false" ht="42" hidden="false" customHeight="true" outlineLevel="0" collapsed="false">
      <c r="B8" s="14" t="s">
        <v>117</v>
      </c>
      <c r="C8" s="14" t="s">
        <v>118</v>
      </c>
      <c r="D8" s="14" t="s">
        <v>119</v>
      </c>
      <c r="E8" s="14" t="s">
        <v>120</v>
      </c>
      <c r="F8" s="14"/>
      <c r="G8" s="14" t="s">
        <v>121</v>
      </c>
      <c r="H8" s="14" t="s">
        <v>122</v>
      </c>
      <c r="I8" s="14" t="s">
        <v>123</v>
      </c>
      <c r="J8" s="14" t="s">
        <v>108</v>
      </c>
      <c r="K8" s="14" t="s">
        <v>124</v>
      </c>
    </row>
    <row r="9" customFormat="false" ht="42" hidden="false" customHeight="true" outlineLevel="0" collapsed="false">
      <c r="B9" s="14" t="s">
        <v>117</v>
      </c>
      <c r="C9" s="14" t="s">
        <v>125</v>
      </c>
      <c r="D9" s="14" t="s">
        <v>126</v>
      </c>
      <c r="E9" s="14" t="s">
        <v>127</v>
      </c>
      <c r="F9" s="14"/>
      <c r="G9" s="14" t="s">
        <v>128</v>
      </c>
      <c r="H9" s="14" t="s">
        <v>122</v>
      </c>
      <c r="I9" s="14" t="s">
        <v>129</v>
      </c>
      <c r="J9" s="14" t="s">
        <v>108</v>
      </c>
      <c r="K9" s="14" t="s">
        <v>130</v>
      </c>
    </row>
    <row r="10" customFormat="false" ht="42" hidden="false" customHeight="true" outlineLevel="0" collapsed="false">
      <c r="B10" s="14" t="s">
        <v>131</v>
      </c>
      <c r="C10" s="14" t="s">
        <v>132</v>
      </c>
      <c r="D10" s="14" t="s">
        <v>133</v>
      </c>
      <c r="E10" s="14" t="s">
        <v>134</v>
      </c>
      <c r="F10" s="14"/>
      <c r="G10" s="14" t="s">
        <v>135</v>
      </c>
      <c r="H10" s="14" t="s">
        <v>136</v>
      </c>
      <c r="I10" s="14" t="s">
        <v>137</v>
      </c>
      <c r="J10" s="14" t="s">
        <v>108</v>
      </c>
      <c r="K10" s="14" t="s">
        <v>138</v>
      </c>
    </row>
    <row r="11" customFormat="false" ht="42" hidden="false" customHeight="true" outlineLevel="0" collapsed="false">
      <c r="B11" s="14" t="s">
        <v>131</v>
      </c>
      <c r="C11" s="14" t="s">
        <v>139</v>
      </c>
      <c r="D11" s="14" t="s">
        <v>140</v>
      </c>
      <c r="E11" s="14" t="s">
        <v>141</v>
      </c>
      <c r="F11" s="14"/>
      <c r="G11" s="14" t="s">
        <v>142</v>
      </c>
      <c r="H11" s="14" t="s">
        <v>143</v>
      </c>
      <c r="I11" s="14" t="s">
        <v>144</v>
      </c>
      <c r="J11" s="14" t="s">
        <v>108</v>
      </c>
      <c r="K11" s="14" t="s">
        <v>145</v>
      </c>
    </row>
    <row r="12" customFormat="false" ht="42" hidden="false" customHeight="true" outlineLevel="0" collapsed="false">
      <c r="B12" s="14" t="s">
        <v>131</v>
      </c>
      <c r="C12" s="14" t="s">
        <v>146</v>
      </c>
      <c r="D12" s="14" t="s">
        <v>147</v>
      </c>
      <c r="E12" s="14" t="s">
        <v>148</v>
      </c>
      <c r="F12" s="14"/>
      <c r="G12" s="14" t="s">
        <v>149</v>
      </c>
      <c r="H12" s="14" t="s">
        <v>150</v>
      </c>
      <c r="I12" s="14" t="s">
        <v>151</v>
      </c>
      <c r="J12" s="14" t="s">
        <v>108</v>
      </c>
      <c r="K12" s="14" t="s">
        <v>152</v>
      </c>
    </row>
    <row r="13" customFormat="false" ht="42" hidden="false" customHeight="true" outlineLevel="0" collapsed="false">
      <c r="B13" s="14" t="s">
        <v>131</v>
      </c>
      <c r="C13" s="14" t="s">
        <v>153</v>
      </c>
      <c r="D13" s="14" t="s">
        <v>154</v>
      </c>
      <c r="E13" s="14" t="s">
        <v>155</v>
      </c>
      <c r="F13" s="14"/>
      <c r="G13" s="14" t="s">
        <v>156</v>
      </c>
      <c r="H13" s="14" t="s">
        <v>157</v>
      </c>
      <c r="I13" s="14" t="s">
        <v>158</v>
      </c>
      <c r="J13" s="14" t="s">
        <v>108</v>
      </c>
      <c r="K13" s="14" t="s">
        <v>159</v>
      </c>
    </row>
    <row r="14" customFormat="false" ht="42" hidden="false" customHeight="true" outlineLevel="0" collapsed="false">
      <c r="B14" s="14" t="s">
        <v>160</v>
      </c>
      <c r="C14" s="14" t="s">
        <v>161</v>
      </c>
      <c r="D14" s="14" t="s">
        <v>162</v>
      </c>
      <c r="E14" s="14" t="s">
        <v>163</v>
      </c>
      <c r="F14" s="14"/>
      <c r="G14" s="14" t="s">
        <v>164</v>
      </c>
      <c r="H14" s="14" t="s">
        <v>165</v>
      </c>
      <c r="I14" s="14" t="s">
        <v>166</v>
      </c>
      <c r="J14" s="14" t="s">
        <v>108</v>
      </c>
      <c r="K14" s="14" t="s">
        <v>167</v>
      </c>
    </row>
    <row r="15" customFormat="false" ht="42" hidden="false" customHeight="true" outlineLevel="0" collapsed="false">
      <c r="B15" s="14" t="s">
        <v>160</v>
      </c>
      <c r="C15" s="14" t="s">
        <v>168</v>
      </c>
      <c r="D15" s="14" t="s">
        <v>169</v>
      </c>
      <c r="E15" s="14" t="s">
        <v>170</v>
      </c>
      <c r="F15" s="14"/>
      <c r="G15" s="14" t="s">
        <v>171</v>
      </c>
      <c r="H15" s="14" t="s">
        <v>136</v>
      </c>
      <c r="I15" s="14" t="s">
        <v>172</v>
      </c>
      <c r="J15" s="14" t="s">
        <v>108</v>
      </c>
      <c r="K15" s="14" t="s">
        <v>173</v>
      </c>
    </row>
    <row r="16" customFormat="false" ht="42" hidden="false" customHeight="true" outlineLevel="0" collapsed="false">
      <c r="B16" s="14" t="s">
        <v>160</v>
      </c>
      <c r="C16" s="14" t="s">
        <v>174</v>
      </c>
      <c r="D16" s="14" t="s">
        <v>175</v>
      </c>
      <c r="E16" s="14" t="s">
        <v>176</v>
      </c>
      <c r="F16" s="14"/>
      <c r="G16" s="14" t="s">
        <v>177</v>
      </c>
      <c r="H16" s="14" t="s">
        <v>178</v>
      </c>
      <c r="I16" s="14" t="s">
        <v>179</v>
      </c>
      <c r="J16" s="14" t="s">
        <v>108</v>
      </c>
      <c r="K16" s="14" t="s">
        <v>180</v>
      </c>
    </row>
    <row r="17" customFormat="false" ht="42" hidden="false" customHeight="true" outlineLevel="0" collapsed="false">
      <c r="B17" s="6" t="s">
        <v>181</v>
      </c>
      <c r="C17" s="6" t="s">
        <v>182</v>
      </c>
      <c r="D17" s="6" t="s">
        <v>183</v>
      </c>
      <c r="E17" s="6" t="s">
        <v>184</v>
      </c>
      <c r="F17" s="6"/>
      <c r="G17" s="6" t="s">
        <v>185</v>
      </c>
      <c r="H17" s="6" t="s">
        <v>186</v>
      </c>
      <c r="I17" s="6" t="s">
        <v>187</v>
      </c>
      <c r="J17" s="6" t="s">
        <v>76</v>
      </c>
      <c r="K17" s="6" t="s">
        <v>188</v>
      </c>
    </row>
    <row r="18" customFormat="false" ht="42" hidden="false" customHeight="true" outlineLevel="0" collapsed="false">
      <c r="B18" s="14" t="s">
        <v>189</v>
      </c>
      <c r="C18" s="14" t="s">
        <v>190</v>
      </c>
      <c r="D18" s="14" t="s">
        <v>191</v>
      </c>
      <c r="E18" s="14" t="s">
        <v>192</v>
      </c>
      <c r="F18" s="14"/>
      <c r="G18" s="14" t="s">
        <v>193</v>
      </c>
      <c r="H18" s="14" t="s">
        <v>194</v>
      </c>
      <c r="I18" s="14" t="s">
        <v>195</v>
      </c>
      <c r="J18" s="14" t="s">
        <v>108</v>
      </c>
      <c r="K18" s="14" t="s">
        <v>196</v>
      </c>
    </row>
    <row r="19" customFormat="false" ht="42" hidden="false" customHeight="true" outlineLevel="0" collapsed="false">
      <c r="B19" s="14" t="s">
        <v>189</v>
      </c>
      <c r="C19" s="14" t="s">
        <v>197</v>
      </c>
      <c r="D19" s="14" t="s">
        <v>198</v>
      </c>
      <c r="E19" s="14" t="s">
        <v>199</v>
      </c>
      <c r="F19" s="14"/>
      <c r="G19" s="14" t="s">
        <v>200</v>
      </c>
      <c r="H19" s="14" t="s">
        <v>201</v>
      </c>
      <c r="I19" s="14" t="s">
        <v>195</v>
      </c>
      <c r="J19" s="14" t="s">
        <v>108</v>
      </c>
      <c r="K19" s="14" t="s">
        <v>202</v>
      </c>
    </row>
    <row r="20" customFormat="false" ht="42" hidden="false" customHeight="true" outlineLevel="0" collapsed="false">
      <c r="B20" s="14" t="s">
        <v>189</v>
      </c>
      <c r="C20" s="14" t="s">
        <v>203</v>
      </c>
      <c r="D20" s="14" t="s">
        <v>204</v>
      </c>
      <c r="E20" s="14" t="s">
        <v>205</v>
      </c>
      <c r="F20" s="14"/>
      <c r="G20" s="14" t="s">
        <v>206</v>
      </c>
      <c r="H20" s="14" t="s">
        <v>207</v>
      </c>
      <c r="I20" s="14" t="s">
        <v>208</v>
      </c>
      <c r="J20" s="14" t="s">
        <v>209</v>
      </c>
      <c r="K20" s="14" t="s">
        <v>210</v>
      </c>
    </row>
    <row r="21" customFormat="false" ht="42" hidden="false" customHeight="true" outlineLevel="0" collapsed="false">
      <c r="B21" s="14" t="s">
        <v>211</v>
      </c>
      <c r="C21" s="14" t="s">
        <v>212</v>
      </c>
      <c r="D21" s="14" t="s">
        <v>213</v>
      </c>
      <c r="E21" s="14" t="s">
        <v>214</v>
      </c>
      <c r="F21" s="14"/>
      <c r="G21" s="14" t="s">
        <v>215</v>
      </c>
      <c r="H21" s="14" t="s">
        <v>216</v>
      </c>
      <c r="I21" s="14" t="s">
        <v>217</v>
      </c>
      <c r="J21" s="14" t="s">
        <v>108</v>
      </c>
      <c r="K21" s="14" t="s">
        <v>218</v>
      </c>
    </row>
    <row r="22" customFormat="false" ht="42" hidden="false" customHeight="true" outlineLevel="0" collapsed="false">
      <c r="B22" s="14" t="s">
        <v>211</v>
      </c>
      <c r="C22" s="14" t="s">
        <v>219</v>
      </c>
      <c r="D22" s="14" t="s">
        <v>220</v>
      </c>
      <c r="E22" s="14" t="s">
        <v>221</v>
      </c>
      <c r="F22" s="14"/>
      <c r="G22" s="14" t="s">
        <v>222</v>
      </c>
      <c r="H22" s="14" t="s">
        <v>223</v>
      </c>
      <c r="I22" s="14" t="s">
        <v>224</v>
      </c>
      <c r="J22" s="14" t="s">
        <v>108</v>
      </c>
      <c r="K22" s="14" t="s">
        <v>225</v>
      </c>
    </row>
    <row r="23" customFormat="false" ht="42" hidden="false" customHeight="true" outlineLevel="0" collapsed="false">
      <c r="B23" s="14" t="s">
        <v>211</v>
      </c>
      <c r="C23" s="14" t="s">
        <v>226</v>
      </c>
      <c r="D23" s="14" t="s">
        <v>227</v>
      </c>
      <c r="E23" s="14" t="s">
        <v>228</v>
      </c>
      <c r="F23" s="14"/>
      <c r="G23" s="14" t="s">
        <v>229</v>
      </c>
      <c r="H23" s="14" t="s">
        <v>230</v>
      </c>
      <c r="I23" s="14" t="s">
        <v>231</v>
      </c>
      <c r="J23" s="14" t="s">
        <v>108</v>
      </c>
      <c r="K23" s="14" t="s">
        <v>232</v>
      </c>
    </row>
    <row r="24" customFormat="false" ht="42" hidden="false" customHeight="true" outlineLevel="0" collapsed="false">
      <c r="B24" s="13" t="s">
        <v>233</v>
      </c>
      <c r="C24" s="13" t="s">
        <v>234</v>
      </c>
      <c r="D24" s="13" t="s">
        <v>235</v>
      </c>
      <c r="E24" s="13" t="s">
        <v>85</v>
      </c>
      <c r="F24" s="13"/>
      <c r="G24" s="13" t="s">
        <v>236</v>
      </c>
      <c r="H24" s="13" t="s">
        <v>237</v>
      </c>
      <c r="I24" s="13" t="s">
        <v>238</v>
      </c>
      <c r="J24" s="13" t="s">
        <v>239</v>
      </c>
      <c r="K24" s="13" t="s">
        <v>240</v>
      </c>
    </row>
    <row r="25" customFormat="false" ht="42" hidden="false" customHeight="true" outlineLevel="0" collapsed="false">
      <c r="B25" s="14" t="s">
        <v>241</v>
      </c>
      <c r="C25" s="14" t="s">
        <v>242</v>
      </c>
      <c r="D25" s="14" t="s">
        <v>243</v>
      </c>
      <c r="E25" s="14" t="s">
        <v>244</v>
      </c>
      <c r="F25" s="14"/>
      <c r="G25" s="14" t="s">
        <v>245</v>
      </c>
      <c r="H25" s="14" t="s">
        <v>201</v>
      </c>
      <c r="I25" s="14" t="s">
        <v>246</v>
      </c>
      <c r="J25" s="14" t="s">
        <v>108</v>
      </c>
      <c r="K25" s="14" t="s">
        <v>247</v>
      </c>
    </row>
    <row r="26" customFormat="false" ht="42" hidden="false" customHeight="true" outlineLevel="0" collapsed="false">
      <c r="B26" s="14" t="s">
        <v>241</v>
      </c>
      <c r="C26" s="14" t="s">
        <v>248</v>
      </c>
      <c r="D26" s="14" t="s">
        <v>249</v>
      </c>
      <c r="E26" s="14" t="s">
        <v>244</v>
      </c>
      <c r="F26" s="14"/>
      <c r="G26" s="14" t="s">
        <v>250</v>
      </c>
      <c r="H26" s="14" t="s">
        <v>251</v>
      </c>
      <c r="I26" s="14" t="s">
        <v>246</v>
      </c>
      <c r="J26" s="14" t="s">
        <v>108</v>
      </c>
      <c r="K26" s="14" t="s">
        <v>252</v>
      </c>
    </row>
  </sheetData>
  <mergeCells count="1">
    <mergeCell ref="B2:K2"/>
  </mergeCells>
  <dataValidations count="1">
    <dataValidation allowBlank="true" errorStyle="stop" operator="between" showDropDown="false" showErrorMessage="false" showInputMessage="false" sqref="J6:J26" type="list">
      <formula1>"Required,Recommended,Optional,Done,Blocked,Not needed"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46"/>
    <col collapsed="false" customWidth="true" hidden="false" outlineLevel="0" max="5" min="5" style="0" width="44"/>
    <col collapsed="false" customWidth="true" hidden="false" outlineLevel="0" max="6" min="6" style="0" width="34"/>
    <col collapsed="false" customWidth="true" hidden="false" outlineLevel="0" max="7" min="7" style="0" width="16"/>
    <col collapsed="false" customWidth="true" hidden="false" outlineLevel="0" max="8" min="8" style="0" width="36"/>
  </cols>
  <sheetData>
    <row r="1" customFormat="false" ht="42" hidden="false" customHeight="true" outlineLevel="0" collapsed="false"/>
    <row r="2" customFormat="false" ht="27.75" hidden="false" customHeight="true" outlineLevel="0" collapsed="false">
      <c r="B2" s="15" t="s">
        <v>253</v>
      </c>
      <c r="C2" s="15"/>
      <c r="D2" s="15"/>
      <c r="E2" s="15"/>
      <c r="F2" s="15"/>
      <c r="G2" s="15"/>
      <c r="H2" s="15"/>
      <c r="I2" s="15"/>
    </row>
    <row r="3" customFormat="false" ht="42" hidden="false" customHeight="true" outlineLevel="0" collapsed="false">
      <c r="B3" s="3" t="s">
        <v>254</v>
      </c>
    </row>
    <row r="4" customFormat="false" ht="42" hidden="false" customHeight="true" outlineLevel="0" collapsed="false"/>
    <row r="5" customFormat="false" ht="42" hidden="false" customHeight="true" outlineLevel="0" collapsed="false">
      <c r="B5" s="12" t="s">
        <v>255</v>
      </c>
      <c r="C5" s="12" t="s">
        <v>256</v>
      </c>
      <c r="D5" s="12" t="s">
        <v>257</v>
      </c>
      <c r="E5" s="12" t="s">
        <v>95</v>
      </c>
      <c r="F5" s="12" t="s">
        <v>258</v>
      </c>
      <c r="G5" s="12" t="s">
        <v>239</v>
      </c>
      <c r="H5" s="12" t="s">
        <v>45</v>
      </c>
    </row>
    <row r="6" customFormat="false" ht="42" hidden="false" customHeight="true" outlineLevel="0" collapsed="false">
      <c r="B6" s="16" t="s">
        <v>259</v>
      </c>
      <c r="C6" s="16" t="s">
        <v>260</v>
      </c>
      <c r="D6" s="16" t="s">
        <v>261</v>
      </c>
      <c r="E6" s="16" t="s">
        <v>262</v>
      </c>
      <c r="F6" s="16" t="s">
        <v>263</v>
      </c>
      <c r="G6" s="16"/>
      <c r="H6" s="16" t="s">
        <v>264</v>
      </c>
    </row>
    <row r="7" customFormat="false" ht="42" hidden="false" customHeight="true" outlineLevel="0" collapsed="false">
      <c r="B7" s="16" t="s">
        <v>259</v>
      </c>
      <c r="C7" s="16" t="s">
        <v>265</v>
      </c>
      <c r="D7" s="16" t="s">
        <v>266</v>
      </c>
      <c r="E7" s="16" t="s">
        <v>267</v>
      </c>
      <c r="F7" s="16" t="s">
        <v>268</v>
      </c>
      <c r="G7" s="16"/>
      <c r="H7" s="16" t="s">
        <v>269</v>
      </c>
    </row>
    <row r="8" customFormat="false" ht="42" hidden="false" customHeight="true" outlineLevel="0" collapsed="false">
      <c r="B8" s="16" t="s">
        <v>259</v>
      </c>
      <c r="C8" s="16" t="s">
        <v>270</v>
      </c>
      <c r="D8" s="16" t="s">
        <v>271</v>
      </c>
      <c r="E8" s="16" t="s">
        <v>272</v>
      </c>
      <c r="F8" s="16" t="s">
        <v>273</v>
      </c>
      <c r="G8" s="16"/>
      <c r="H8" s="16" t="s">
        <v>274</v>
      </c>
    </row>
    <row r="9" customFormat="false" ht="42" hidden="false" customHeight="true" outlineLevel="0" collapsed="false">
      <c r="B9" s="16" t="s">
        <v>259</v>
      </c>
      <c r="C9" s="16" t="s">
        <v>275</v>
      </c>
      <c r="D9" s="16" t="s">
        <v>276</v>
      </c>
      <c r="E9" s="16" t="s">
        <v>277</v>
      </c>
      <c r="F9" s="16" t="s">
        <v>278</v>
      </c>
      <c r="G9" s="16"/>
      <c r="H9" s="16" t="s">
        <v>279</v>
      </c>
    </row>
    <row r="10" customFormat="false" ht="42" hidden="false" customHeight="true" outlineLevel="0" collapsed="false">
      <c r="B10" s="16" t="s">
        <v>259</v>
      </c>
      <c r="C10" s="16" t="s">
        <v>280</v>
      </c>
      <c r="D10" s="16" t="s">
        <v>281</v>
      </c>
      <c r="E10" s="16" t="s">
        <v>282</v>
      </c>
      <c r="F10" s="16" t="s">
        <v>283</v>
      </c>
      <c r="G10" s="16"/>
      <c r="H10" s="16" t="s">
        <v>284</v>
      </c>
    </row>
    <row r="11" customFormat="false" ht="42" hidden="false" customHeight="true" outlineLevel="0" collapsed="false">
      <c r="B11" s="16" t="s">
        <v>259</v>
      </c>
      <c r="C11" s="16" t="s">
        <v>285</v>
      </c>
      <c r="D11" s="16" t="s">
        <v>286</v>
      </c>
      <c r="E11" s="16" t="s">
        <v>287</v>
      </c>
      <c r="F11" s="16" t="s">
        <v>288</v>
      </c>
      <c r="G11" s="16"/>
      <c r="H11" s="16" t="s">
        <v>289</v>
      </c>
    </row>
    <row r="12" customFormat="false" ht="42" hidden="false" customHeight="true" outlineLevel="0" collapsed="false">
      <c r="B12" s="16" t="s">
        <v>259</v>
      </c>
      <c r="C12" s="16" t="s">
        <v>290</v>
      </c>
      <c r="D12" s="16" t="s">
        <v>291</v>
      </c>
      <c r="E12" s="16" t="s">
        <v>292</v>
      </c>
      <c r="F12" s="16" t="s">
        <v>293</v>
      </c>
      <c r="G12" s="16"/>
      <c r="H12" s="16" t="s">
        <v>294</v>
      </c>
    </row>
    <row r="13" customFormat="false" ht="42" hidden="false" customHeight="true" outlineLevel="0" collapsed="false">
      <c r="B13" s="16" t="s">
        <v>259</v>
      </c>
      <c r="C13" s="16" t="s">
        <v>295</v>
      </c>
      <c r="D13" s="16" t="s">
        <v>296</v>
      </c>
      <c r="E13" s="16" t="s">
        <v>297</v>
      </c>
      <c r="F13" s="16" t="s">
        <v>298</v>
      </c>
      <c r="G13" s="16"/>
      <c r="H13" s="16" t="s">
        <v>299</v>
      </c>
    </row>
    <row r="14" customFormat="false" ht="42" hidden="false" customHeight="true" outlineLevel="0" collapsed="false">
      <c r="B14" s="16" t="s">
        <v>259</v>
      </c>
      <c r="C14" s="16" t="s">
        <v>300</v>
      </c>
      <c r="D14" s="16" t="s">
        <v>301</v>
      </c>
      <c r="E14" s="16" t="s">
        <v>302</v>
      </c>
      <c r="F14" s="16" t="s">
        <v>303</v>
      </c>
      <c r="G14" s="16"/>
      <c r="H14" s="16" t="s">
        <v>304</v>
      </c>
    </row>
    <row r="15" customFormat="false" ht="42" hidden="false" customHeight="true" outlineLevel="0" collapsed="false">
      <c r="B15" s="16" t="s">
        <v>259</v>
      </c>
      <c r="C15" s="16" t="s">
        <v>305</v>
      </c>
      <c r="D15" s="16" t="s">
        <v>306</v>
      </c>
      <c r="E15" s="16" t="s">
        <v>307</v>
      </c>
      <c r="F15" s="16" t="s">
        <v>308</v>
      </c>
      <c r="G15" s="16"/>
      <c r="H15" s="16" t="s">
        <v>309</v>
      </c>
    </row>
    <row r="16" customFormat="false" ht="42" hidden="false" customHeight="true" outlineLevel="0" collapsed="false">
      <c r="B16" s="14" t="s">
        <v>310</v>
      </c>
      <c r="C16" s="14" t="s">
        <v>311</v>
      </c>
      <c r="D16" s="14" t="s">
        <v>312</v>
      </c>
      <c r="E16" s="14" t="s">
        <v>313</v>
      </c>
      <c r="F16" s="14" t="s">
        <v>314</v>
      </c>
      <c r="G16" s="14"/>
      <c r="H16" s="14" t="s">
        <v>315</v>
      </c>
    </row>
    <row r="17" customFormat="false" ht="42" hidden="false" customHeight="true" outlineLevel="0" collapsed="false">
      <c r="B17" s="14" t="s">
        <v>310</v>
      </c>
      <c r="C17" s="14" t="s">
        <v>316</v>
      </c>
      <c r="D17" s="14" t="s">
        <v>317</v>
      </c>
      <c r="E17" s="14" t="s">
        <v>318</v>
      </c>
      <c r="F17" s="14" t="s">
        <v>319</v>
      </c>
      <c r="G17" s="14"/>
      <c r="H17" s="14"/>
    </row>
    <row r="18" customFormat="false" ht="42" hidden="false" customHeight="true" outlineLevel="0" collapsed="false">
      <c r="B18" s="14" t="s">
        <v>310</v>
      </c>
      <c r="C18" s="14" t="s">
        <v>320</v>
      </c>
      <c r="D18" s="14" t="s">
        <v>321</v>
      </c>
      <c r="E18" s="14" t="s">
        <v>322</v>
      </c>
      <c r="F18" s="14" t="s">
        <v>323</v>
      </c>
      <c r="G18" s="14"/>
      <c r="H18" s="14" t="s">
        <v>324</v>
      </c>
    </row>
    <row r="19" customFormat="false" ht="42" hidden="false" customHeight="true" outlineLevel="0" collapsed="false">
      <c r="B19" s="14" t="s">
        <v>310</v>
      </c>
      <c r="C19" s="14" t="s">
        <v>325</v>
      </c>
      <c r="D19" s="14" t="s">
        <v>326</v>
      </c>
      <c r="E19" s="14" t="s">
        <v>327</v>
      </c>
      <c r="F19" s="14" t="s">
        <v>328</v>
      </c>
      <c r="G19" s="14"/>
      <c r="H19" s="14"/>
    </row>
    <row r="20" customFormat="false" ht="42" hidden="false" customHeight="true" outlineLevel="0" collapsed="false">
      <c r="B20" s="14" t="s">
        <v>310</v>
      </c>
      <c r="C20" s="14" t="s">
        <v>329</v>
      </c>
      <c r="D20" s="14" t="s">
        <v>330</v>
      </c>
      <c r="E20" s="14" t="s">
        <v>331</v>
      </c>
      <c r="F20" s="14" t="s">
        <v>332</v>
      </c>
      <c r="G20" s="14"/>
      <c r="H20" s="14" t="s">
        <v>333</v>
      </c>
    </row>
    <row r="21" customFormat="false" ht="42" hidden="false" customHeight="true" outlineLevel="0" collapsed="false">
      <c r="B21" s="14" t="s">
        <v>310</v>
      </c>
      <c r="C21" s="14" t="s">
        <v>334</v>
      </c>
      <c r="D21" s="14" t="s">
        <v>335</v>
      </c>
      <c r="E21" s="14" t="s">
        <v>336</v>
      </c>
      <c r="F21" s="14" t="s">
        <v>337</v>
      </c>
      <c r="G21" s="14"/>
      <c r="H21" s="14" t="s">
        <v>338</v>
      </c>
    </row>
    <row r="22" customFormat="false" ht="42" hidden="false" customHeight="true" outlineLevel="0" collapsed="false">
      <c r="B22" s="13" t="s">
        <v>339</v>
      </c>
      <c r="C22" s="13" t="s">
        <v>340</v>
      </c>
      <c r="D22" s="13" t="s">
        <v>341</v>
      </c>
      <c r="E22" s="13" t="s">
        <v>342</v>
      </c>
      <c r="F22" s="13" t="s">
        <v>343</v>
      </c>
      <c r="G22" s="13"/>
      <c r="H22" s="13"/>
    </row>
    <row r="23" customFormat="false" ht="42" hidden="false" customHeight="true" outlineLevel="0" collapsed="false">
      <c r="B23" s="13" t="s">
        <v>339</v>
      </c>
      <c r="C23" s="13" t="s">
        <v>344</v>
      </c>
      <c r="D23" s="13" t="s">
        <v>345</v>
      </c>
      <c r="E23" s="13" t="s">
        <v>346</v>
      </c>
      <c r="F23" s="13" t="s">
        <v>347</v>
      </c>
      <c r="G23" s="13"/>
      <c r="H23" s="13"/>
    </row>
    <row r="24" customFormat="false" ht="42" hidden="false" customHeight="true" outlineLevel="0" collapsed="false">
      <c r="B24" s="16" t="s">
        <v>259</v>
      </c>
      <c r="C24" s="16" t="s">
        <v>348</v>
      </c>
      <c r="D24" s="16" t="s">
        <v>349</v>
      </c>
      <c r="E24" s="16" t="s">
        <v>350</v>
      </c>
      <c r="F24" s="16" t="s">
        <v>351</v>
      </c>
      <c r="G24" s="16"/>
      <c r="H24" s="16" t="s">
        <v>352</v>
      </c>
    </row>
  </sheetData>
  <mergeCells count="1">
    <mergeCell ref="B2:I2"/>
  </mergeCells>
  <dataValidations count="1">
    <dataValidation allowBlank="true" errorStyle="stop" operator="between" showDropDown="false" showErrorMessage="false" showInputMessage="false" sqref="G6:G24" type="list">
      <formula1>"Not started,Done,Retake needed,N/A"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3" min="3" style="1" width="36.3"/>
    <col collapsed="false" customWidth="true" hidden="false" outlineLevel="0" max="4" min="4" style="1" width="25.51"/>
    <col collapsed="false" customWidth="true" hidden="false" outlineLevel="0" max="5" min="5" style="1" width="41.7"/>
    <col collapsed="false" customWidth="true" hidden="false" outlineLevel="0" max="9" min="6" style="1" width="48"/>
    <col collapsed="false" customWidth="true" hidden="false" outlineLevel="0" max="10" min="10" style="1" width="21"/>
    <col collapsed="false" customWidth="true" hidden="false" outlineLevel="0" max="11" min="11" style="1" width="48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353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27.75" hidden="false" customHeight="true" outlineLevel="0" collapsed="false">
      <c r="B3" s="3" t="s">
        <v>354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355</v>
      </c>
      <c r="C5" s="4" t="s">
        <v>356</v>
      </c>
      <c r="D5" s="4" t="s">
        <v>357</v>
      </c>
      <c r="E5" s="4" t="s">
        <v>358</v>
      </c>
      <c r="F5" s="4" t="s">
        <v>359</v>
      </c>
      <c r="G5" s="4" t="s">
        <v>360</v>
      </c>
      <c r="H5" s="4" t="s">
        <v>361</v>
      </c>
      <c r="I5" s="4" t="s">
        <v>362</v>
      </c>
      <c r="J5" s="4" t="s">
        <v>44</v>
      </c>
      <c r="K5" s="4" t="s">
        <v>45</v>
      </c>
    </row>
    <row r="6" customFormat="false" ht="27.75" hidden="false" customHeight="true" outlineLevel="0" collapsed="false">
      <c r="B6" s="5" t="s">
        <v>363</v>
      </c>
      <c r="C6" s="5" t="s">
        <v>364</v>
      </c>
      <c r="D6" s="6" t="s">
        <v>365</v>
      </c>
      <c r="E6" s="5" t="s">
        <v>366</v>
      </c>
      <c r="F6" s="6" t="s">
        <v>367</v>
      </c>
      <c r="G6" s="6" t="s">
        <v>368</v>
      </c>
      <c r="H6" s="6" t="s">
        <v>369</v>
      </c>
      <c r="I6" s="6" t="s">
        <v>370</v>
      </c>
      <c r="J6" s="6" t="s">
        <v>371</v>
      </c>
      <c r="K6" s="6" t="s">
        <v>372</v>
      </c>
    </row>
    <row r="7" customFormat="false" ht="27.75" hidden="false" customHeight="true" outlineLevel="0" collapsed="false">
      <c r="B7" s="5" t="s">
        <v>373</v>
      </c>
      <c r="C7" s="5" t="s">
        <v>364</v>
      </c>
      <c r="D7" s="6" t="s">
        <v>374</v>
      </c>
      <c r="E7" s="5" t="s">
        <v>375</v>
      </c>
      <c r="F7" s="6" t="s">
        <v>376</v>
      </c>
      <c r="G7" s="6" t="s">
        <v>377</v>
      </c>
      <c r="H7" s="6" t="s">
        <v>378</v>
      </c>
      <c r="I7" s="6" t="s">
        <v>379</v>
      </c>
      <c r="J7" s="6" t="s">
        <v>371</v>
      </c>
      <c r="K7" s="6" t="s">
        <v>380</v>
      </c>
    </row>
    <row r="8" customFormat="false" ht="27.75" hidden="false" customHeight="true" outlineLevel="0" collapsed="false">
      <c r="B8" s="5" t="s">
        <v>381</v>
      </c>
      <c r="C8" s="5" t="s">
        <v>364</v>
      </c>
      <c r="D8" s="6" t="s">
        <v>382</v>
      </c>
      <c r="E8" s="5" t="s">
        <v>383</v>
      </c>
      <c r="F8" s="6" t="s">
        <v>376</v>
      </c>
      <c r="G8" s="6" t="s">
        <v>384</v>
      </c>
      <c r="H8" s="6" t="s">
        <v>385</v>
      </c>
      <c r="I8" s="6" t="s">
        <v>386</v>
      </c>
      <c r="J8" s="6" t="s">
        <v>371</v>
      </c>
      <c r="K8" s="6" t="s">
        <v>387</v>
      </c>
    </row>
    <row r="9" customFormat="false" ht="27.75" hidden="false" customHeight="true" outlineLevel="0" collapsed="false">
      <c r="B9" s="5" t="s">
        <v>388</v>
      </c>
      <c r="C9" s="6" t="s">
        <v>389</v>
      </c>
      <c r="D9" s="6" t="s">
        <v>390</v>
      </c>
      <c r="E9" s="6" t="s">
        <v>391</v>
      </c>
      <c r="F9" s="6" t="s">
        <v>392</v>
      </c>
      <c r="G9" s="6" t="s">
        <v>393</v>
      </c>
      <c r="H9" s="6" t="s">
        <v>394</v>
      </c>
      <c r="I9" s="6" t="s">
        <v>395</v>
      </c>
      <c r="J9" s="6" t="s">
        <v>396</v>
      </c>
      <c r="K9" s="6" t="s">
        <v>397</v>
      </c>
    </row>
    <row r="10" customFormat="false" ht="27.75" hidden="false" customHeight="true" outlineLevel="0" collapsed="false">
      <c r="B10" s="5" t="s">
        <v>398</v>
      </c>
      <c r="C10" s="6" t="s">
        <v>399</v>
      </c>
      <c r="D10" s="5" t="s">
        <v>400</v>
      </c>
      <c r="E10" s="6" t="s">
        <v>401</v>
      </c>
      <c r="F10" s="6" t="s">
        <v>402</v>
      </c>
      <c r="G10" s="6" t="s">
        <v>403</v>
      </c>
      <c r="H10" s="6" t="s">
        <v>404</v>
      </c>
      <c r="I10" s="6" t="s">
        <v>405</v>
      </c>
      <c r="J10" s="6" t="s">
        <v>406</v>
      </c>
      <c r="K10" s="6" t="s">
        <v>407</v>
      </c>
    </row>
    <row r="11" customFormat="false" ht="27.75" hidden="false" customHeight="true" outlineLevel="0" collapsed="false">
      <c r="B11" s="5" t="s">
        <v>78</v>
      </c>
      <c r="C11" s="5" t="s">
        <v>408</v>
      </c>
      <c r="D11" s="6" t="s">
        <v>409</v>
      </c>
      <c r="E11" s="5" t="s">
        <v>237</v>
      </c>
      <c r="F11" s="6" t="s">
        <v>410</v>
      </c>
      <c r="G11" s="6" t="s">
        <v>411</v>
      </c>
      <c r="H11" s="6" t="s">
        <v>412</v>
      </c>
      <c r="I11" s="6" t="s">
        <v>413</v>
      </c>
      <c r="J11" s="5" t="s">
        <v>76</v>
      </c>
      <c r="K11" s="6" t="s">
        <v>414</v>
      </c>
    </row>
  </sheetData>
  <autoFilter ref="B5:K11"/>
  <mergeCells count="1">
    <mergeCell ref="B2:K2"/>
  </mergeCells>
  <conditionalFormatting sqref="B6:Z11">
    <cfRule type="expression" priority="2" aboveAverage="0" equalAverage="0" bottom="0" percent="0" rank="0" text="" dxfId="7">
      <formula>$J6="Confirmed from notes"</formula>
    </cfRule>
    <cfRule type="expression" priority="3" aboveAverage="0" equalAverage="0" bottom="0" percent="0" rank="0" text="" dxfId="8">
      <formula>$J6="Inferred / likely"</formula>
    </cfRule>
    <cfRule type="expression" priority="4" aboveAverage="0" equalAverage="0" bottom="0" percent="0" rank="0" text="" dxfId="8">
      <formula>$J6="Verify in cabinet"</formula>
    </cfRule>
    <cfRule type="expression" priority="5" aboveAverage="0" equalAverage="0" bottom="0" percent="0" rank="0" text="" dxfId="8">
      <formula>$J6="Measure before buying"</formula>
    </cfRule>
    <cfRule type="expression" priority="6" aboveAverage="0" equalAverage="0" bottom="0" percent="0" rank="0" text="" dxfId="9">
      <formula>$J6="Optional"</formula>
    </cfRule>
  </conditionalFormatting>
  <dataValidations count="1">
    <dataValidation allowBlank="true" errorStyle="stop" operator="between" showDropDown="false" showErrorMessage="false" showInputMessage="false" sqref="J6:J11" type="list">
      <formula1>"Confirmed from notes,Inferred / likely,Verify in cabinet,Measure before buying,Optional,TBD"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25.51"/>
    <col collapsed="false" customWidth="true" hidden="false" outlineLevel="0" max="4" min="4" style="1" width="17.4"/>
    <col collapsed="false" customWidth="true" hidden="false" outlineLevel="0" max="6" min="5" style="1" width="40"/>
    <col collapsed="false" customWidth="true" hidden="false" outlineLevel="0" max="7" min="7" style="1" width="12"/>
    <col collapsed="false" customWidth="true" hidden="false" outlineLevel="0" max="9" min="8" style="1" width="15.6"/>
    <col collapsed="false" customWidth="true" hidden="false" outlineLevel="0" max="10" min="10" style="1" width="19.2"/>
    <col collapsed="false" customWidth="true" hidden="false" outlineLevel="0" max="11" min="11" style="1" width="21"/>
    <col collapsed="false" customWidth="true" hidden="false" outlineLevel="0" max="12" min="12" style="1" width="40"/>
    <col collapsed="false" customWidth="true" hidden="false" outlineLevel="0" max="13" min="13" style="1" width="21"/>
    <col collapsed="false" customWidth="true" hidden="false" outlineLevel="0" max="14" min="14" style="1" width="40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415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7.75" hidden="false" customHeight="true" outlineLevel="0" collapsed="false">
      <c r="B3" s="3" t="s">
        <v>416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417</v>
      </c>
      <c r="C5" s="4" t="s">
        <v>418</v>
      </c>
      <c r="D5" s="4" t="s">
        <v>419</v>
      </c>
      <c r="E5" s="4" t="s">
        <v>420</v>
      </c>
      <c r="F5" s="4" t="s">
        <v>421</v>
      </c>
      <c r="G5" s="4" t="s">
        <v>422</v>
      </c>
      <c r="H5" s="4" t="s">
        <v>423</v>
      </c>
      <c r="I5" s="4" t="s">
        <v>424</v>
      </c>
      <c r="J5" s="4" t="s">
        <v>425</v>
      </c>
      <c r="K5" s="4" t="s">
        <v>426</v>
      </c>
      <c r="L5" s="4" t="s">
        <v>427</v>
      </c>
      <c r="M5" s="4" t="s">
        <v>44</v>
      </c>
      <c r="N5" s="4" t="s">
        <v>45</v>
      </c>
    </row>
    <row r="6" customFormat="false" ht="27.75" hidden="false" customHeight="true" outlineLevel="0" collapsed="false">
      <c r="B6" s="5" t="s">
        <v>428</v>
      </c>
      <c r="C6" s="5"/>
      <c r="D6" s="5" t="s">
        <v>429</v>
      </c>
      <c r="E6" s="6" t="s">
        <v>430</v>
      </c>
      <c r="F6" s="5" t="s">
        <v>431</v>
      </c>
      <c r="G6" s="5" t="s">
        <v>432</v>
      </c>
      <c r="H6" s="5" t="s">
        <v>131</v>
      </c>
      <c r="I6" s="5" t="s">
        <v>433</v>
      </c>
      <c r="J6" s="5" t="s">
        <v>434</v>
      </c>
      <c r="K6" s="5" t="s">
        <v>435</v>
      </c>
      <c r="L6" s="6" t="s">
        <v>436</v>
      </c>
      <c r="M6" s="6" t="s">
        <v>371</v>
      </c>
      <c r="N6" s="6" t="s">
        <v>437</v>
      </c>
    </row>
    <row r="7" customFormat="false" ht="27.75" hidden="false" customHeight="true" outlineLevel="0" collapsed="false">
      <c r="B7" s="5" t="s">
        <v>438</v>
      </c>
      <c r="C7" s="5"/>
      <c r="D7" s="5" t="s">
        <v>429</v>
      </c>
      <c r="E7" s="6" t="s">
        <v>439</v>
      </c>
      <c r="F7" s="5" t="s">
        <v>431</v>
      </c>
      <c r="G7" s="5" t="s">
        <v>432</v>
      </c>
      <c r="H7" s="5" t="s">
        <v>131</v>
      </c>
      <c r="I7" s="5" t="s">
        <v>433</v>
      </c>
      <c r="J7" s="5" t="s">
        <v>440</v>
      </c>
      <c r="K7" s="5" t="s">
        <v>441</v>
      </c>
      <c r="L7" s="6" t="s">
        <v>442</v>
      </c>
      <c r="M7" s="6" t="s">
        <v>371</v>
      </c>
      <c r="N7" s="5"/>
    </row>
    <row r="8" customFormat="false" ht="27.75" hidden="false" customHeight="true" outlineLevel="0" collapsed="false">
      <c r="B8" s="5" t="s">
        <v>443</v>
      </c>
      <c r="C8" s="5"/>
      <c r="D8" s="5" t="s">
        <v>429</v>
      </c>
      <c r="E8" s="6" t="s">
        <v>444</v>
      </c>
      <c r="F8" s="5" t="s">
        <v>431</v>
      </c>
      <c r="G8" s="5" t="s">
        <v>432</v>
      </c>
      <c r="H8" s="5" t="s">
        <v>131</v>
      </c>
      <c r="I8" s="5" t="s">
        <v>433</v>
      </c>
      <c r="J8" s="5" t="s">
        <v>445</v>
      </c>
      <c r="K8" s="5" t="s">
        <v>446</v>
      </c>
      <c r="L8" s="6" t="s">
        <v>447</v>
      </c>
      <c r="M8" s="6" t="s">
        <v>371</v>
      </c>
      <c r="N8" s="5"/>
    </row>
    <row r="9" customFormat="false" ht="27.75" hidden="false" customHeight="true" outlineLevel="0" collapsed="false">
      <c r="B9" s="6" t="s">
        <v>448</v>
      </c>
      <c r="C9" s="5"/>
      <c r="D9" s="5" t="s">
        <v>388</v>
      </c>
      <c r="E9" s="6" t="s">
        <v>449</v>
      </c>
      <c r="F9" s="6" t="s">
        <v>450</v>
      </c>
      <c r="G9" s="5" t="s">
        <v>432</v>
      </c>
      <c r="H9" s="5" t="s">
        <v>131</v>
      </c>
      <c r="I9" s="5" t="s">
        <v>433</v>
      </c>
      <c r="J9" s="5" t="s">
        <v>451</v>
      </c>
      <c r="K9" s="6" t="s">
        <v>452</v>
      </c>
      <c r="L9" s="6" t="s">
        <v>453</v>
      </c>
      <c r="M9" s="6" t="s">
        <v>396</v>
      </c>
      <c r="N9" s="6" t="s">
        <v>454</v>
      </c>
    </row>
    <row r="10" customFormat="false" ht="27.75" hidden="false" customHeight="true" outlineLevel="0" collapsed="false">
      <c r="B10" s="5" t="s">
        <v>455</v>
      </c>
      <c r="C10" s="5"/>
      <c r="D10" s="5" t="s">
        <v>429</v>
      </c>
      <c r="E10" s="6" t="s">
        <v>456</v>
      </c>
      <c r="F10" s="6" t="s">
        <v>457</v>
      </c>
      <c r="G10" s="5" t="s">
        <v>458</v>
      </c>
      <c r="H10" s="5" t="s">
        <v>131</v>
      </c>
      <c r="I10" s="5" t="s">
        <v>459</v>
      </c>
      <c r="J10" s="5" t="s">
        <v>460</v>
      </c>
      <c r="K10" s="5" t="s">
        <v>461</v>
      </c>
      <c r="L10" s="6" t="s">
        <v>462</v>
      </c>
      <c r="M10" s="6" t="s">
        <v>396</v>
      </c>
      <c r="N10" s="6" t="s">
        <v>463</v>
      </c>
    </row>
    <row r="11" customFormat="false" ht="27.75" hidden="false" customHeight="true" outlineLevel="0" collapsed="false">
      <c r="B11" s="5" t="s">
        <v>464</v>
      </c>
      <c r="C11" s="5"/>
      <c r="D11" s="5" t="s">
        <v>429</v>
      </c>
      <c r="E11" s="6" t="s">
        <v>465</v>
      </c>
      <c r="F11" s="6" t="s">
        <v>457</v>
      </c>
      <c r="G11" s="5" t="s">
        <v>458</v>
      </c>
      <c r="H11" s="5" t="s">
        <v>131</v>
      </c>
      <c r="I11" s="5" t="s">
        <v>459</v>
      </c>
      <c r="J11" s="5" t="s">
        <v>466</v>
      </c>
      <c r="K11" s="5" t="s">
        <v>467</v>
      </c>
      <c r="L11" s="6" t="s">
        <v>468</v>
      </c>
      <c r="M11" s="6" t="s">
        <v>396</v>
      </c>
      <c r="N11" s="5"/>
    </row>
    <row r="12" customFormat="false" ht="27.75" hidden="false" customHeight="true" outlineLevel="0" collapsed="false">
      <c r="B12" s="5" t="s">
        <v>469</v>
      </c>
      <c r="C12" s="5"/>
      <c r="D12" s="5" t="s">
        <v>429</v>
      </c>
      <c r="E12" s="6" t="s">
        <v>470</v>
      </c>
      <c r="F12" s="6" t="s">
        <v>457</v>
      </c>
      <c r="G12" s="5" t="s">
        <v>458</v>
      </c>
      <c r="H12" s="5" t="s">
        <v>131</v>
      </c>
      <c r="I12" s="5" t="s">
        <v>459</v>
      </c>
      <c r="J12" s="5" t="s">
        <v>471</v>
      </c>
      <c r="K12" s="5" t="s">
        <v>472</v>
      </c>
      <c r="L12" s="6" t="s">
        <v>473</v>
      </c>
      <c r="M12" s="6" t="s">
        <v>396</v>
      </c>
      <c r="N12" s="5"/>
    </row>
    <row r="13" customFormat="false" ht="27.75" hidden="false" customHeight="true" outlineLevel="0" collapsed="false">
      <c r="B13" s="6" t="s">
        <v>474</v>
      </c>
      <c r="C13" s="5"/>
      <c r="D13" s="5" t="s">
        <v>388</v>
      </c>
      <c r="E13" s="6" t="s">
        <v>475</v>
      </c>
      <c r="F13" s="6" t="s">
        <v>476</v>
      </c>
      <c r="G13" s="5" t="s">
        <v>458</v>
      </c>
      <c r="H13" s="5" t="s">
        <v>131</v>
      </c>
      <c r="I13" s="5" t="s">
        <v>459</v>
      </c>
      <c r="J13" s="5" t="s">
        <v>477</v>
      </c>
      <c r="K13" s="5" t="s">
        <v>478</v>
      </c>
      <c r="L13" s="6" t="s">
        <v>479</v>
      </c>
      <c r="M13" s="6" t="s">
        <v>396</v>
      </c>
      <c r="N13" s="6" t="s">
        <v>480</v>
      </c>
    </row>
    <row r="14" customFormat="false" ht="27.75" hidden="false" customHeight="true" outlineLevel="0" collapsed="false">
      <c r="B14" s="5" t="s">
        <v>481</v>
      </c>
      <c r="C14" s="5" t="s">
        <v>482</v>
      </c>
      <c r="D14" s="5" t="s">
        <v>483</v>
      </c>
      <c r="E14" s="6" t="s">
        <v>484</v>
      </c>
      <c r="F14" s="6" t="s">
        <v>485</v>
      </c>
      <c r="G14" s="5" t="s">
        <v>486</v>
      </c>
      <c r="H14" s="5" t="s">
        <v>131</v>
      </c>
      <c r="I14" s="5" t="s">
        <v>487</v>
      </c>
      <c r="J14" s="5" t="s">
        <v>488</v>
      </c>
      <c r="K14" s="5" t="s">
        <v>489</v>
      </c>
      <c r="L14" s="6" t="s">
        <v>490</v>
      </c>
      <c r="M14" s="6" t="s">
        <v>406</v>
      </c>
      <c r="N14" s="6" t="s">
        <v>491</v>
      </c>
    </row>
    <row r="15" customFormat="false" ht="27.75" hidden="false" customHeight="true" outlineLevel="0" collapsed="false">
      <c r="B15" s="5" t="s">
        <v>492</v>
      </c>
      <c r="C15" s="5" t="s">
        <v>493</v>
      </c>
      <c r="D15" s="5" t="s">
        <v>483</v>
      </c>
      <c r="E15" s="6" t="s">
        <v>494</v>
      </c>
      <c r="F15" s="6" t="s">
        <v>495</v>
      </c>
      <c r="G15" s="5" t="s">
        <v>486</v>
      </c>
      <c r="H15" s="5" t="s">
        <v>131</v>
      </c>
      <c r="I15" s="5" t="s">
        <v>487</v>
      </c>
      <c r="J15" s="5" t="s">
        <v>496</v>
      </c>
      <c r="K15" s="5" t="s">
        <v>497</v>
      </c>
      <c r="L15" s="6" t="s">
        <v>498</v>
      </c>
      <c r="M15" s="6" t="s">
        <v>396</v>
      </c>
      <c r="N15" s="6" t="s">
        <v>499</v>
      </c>
    </row>
    <row r="16" customFormat="false" ht="27.75" hidden="false" customHeight="true" outlineLevel="0" collapsed="false">
      <c r="B16" s="5" t="s">
        <v>500</v>
      </c>
      <c r="C16" s="5" t="s">
        <v>501</v>
      </c>
      <c r="D16" s="5" t="s">
        <v>483</v>
      </c>
      <c r="E16" s="6" t="s">
        <v>502</v>
      </c>
      <c r="F16" s="6" t="s">
        <v>495</v>
      </c>
      <c r="G16" s="5" t="s">
        <v>486</v>
      </c>
      <c r="H16" s="5" t="s">
        <v>131</v>
      </c>
      <c r="I16" s="5" t="s">
        <v>487</v>
      </c>
      <c r="J16" s="5" t="s">
        <v>503</v>
      </c>
      <c r="K16" s="5" t="s">
        <v>504</v>
      </c>
      <c r="L16" s="6" t="s">
        <v>498</v>
      </c>
      <c r="M16" s="6" t="s">
        <v>396</v>
      </c>
      <c r="N16" s="6" t="s">
        <v>499</v>
      </c>
    </row>
    <row r="17" customFormat="false" ht="27.75" hidden="false" customHeight="true" outlineLevel="0" collapsed="false">
      <c r="B17" s="5" t="s">
        <v>505</v>
      </c>
      <c r="C17" s="5" t="s">
        <v>506</v>
      </c>
      <c r="D17" s="5" t="s">
        <v>483</v>
      </c>
      <c r="E17" s="6" t="s">
        <v>507</v>
      </c>
      <c r="F17" s="5" t="s">
        <v>508</v>
      </c>
      <c r="G17" s="5" t="s">
        <v>486</v>
      </c>
      <c r="H17" s="5" t="s">
        <v>131</v>
      </c>
      <c r="I17" s="5" t="s">
        <v>487</v>
      </c>
      <c r="J17" s="5" t="s">
        <v>509</v>
      </c>
      <c r="K17" s="5" t="s">
        <v>510</v>
      </c>
      <c r="L17" s="6" t="s">
        <v>511</v>
      </c>
      <c r="M17" s="6" t="s">
        <v>406</v>
      </c>
      <c r="N17" s="5"/>
    </row>
    <row r="18" customFormat="false" ht="27.75" hidden="false" customHeight="true" outlineLevel="0" collapsed="false">
      <c r="B18" s="5" t="s">
        <v>512</v>
      </c>
      <c r="C18" s="5" t="s">
        <v>513</v>
      </c>
      <c r="D18" s="5" t="s">
        <v>483</v>
      </c>
      <c r="E18" s="6" t="s">
        <v>514</v>
      </c>
      <c r="F18" s="5" t="s">
        <v>515</v>
      </c>
      <c r="G18" s="5" t="s">
        <v>486</v>
      </c>
      <c r="H18" s="5" t="s">
        <v>131</v>
      </c>
      <c r="I18" s="5" t="s">
        <v>487</v>
      </c>
      <c r="J18" s="5" t="s">
        <v>516</v>
      </c>
      <c r="K18" s="5" t="s">
        <v>517</v>
      </c>
      <c r="L18" s="6" t="s">
        <v>498</v>
      </c>
      <c r="M18" s="6" t="s">
        <v>396</v>
      </c>
      <c r="N18" s="5"/>
    </row>
    <row r="19" customFormat="false" ht="27.75" hidden="false" customHeight="true" outlineLevel="0" collapsed="false">
      <c r="B19" s="5" t="s">
        <v>518</v>
      </c>
      <c r="C19" s="5" t="s">
        <v>519</v>
      </c>
      <c r="D19" s="5" t="s">
        <v>483</v>
      </c>
      <c r="E19" s="6" t="s">
        <v>520</v>
      </c>
      <c r="F19" s="5" t="s">
        <v>515</v>
      </c>
      <c r="G19" s="5" t="s">
        <v>486</v>
      </c>
      <c r="H19" s="5" t="s">
        <v>131</v>
      </c>
      <c r="I19" s="5" t="s">
        <v>487</v>
      </c>
      <c r="J19" s="5" t="s">
        <v>521</v>
      </c>
      <c r="K19" s="5" t="s">
        <v>522</v>
      </c>
      <c r="L19" s="6" t="s">
        <v>498</v>
      </c>
      <c r="M19" s="6" t="s">
        <v>396</v>
      </c>
      <c r="N19" s="5"/>
    </row>
    <row r="20" customFormat="false" ht="27.75" hidden="false" customHeight="true" outlineLevel="0" collapsed="false">
      <c r="B20" s="5" t="s">
        <v>523</v>
      </c>
      <c r="C20" s="5" t="s">
        <v>524</v>
      </c>
      <c r="D20" s="5" t="s">
        <v>483</v>
      </c>
      <c r="E20" s="6" t="s">
        <v>525</v>
      </c>
      <c r="F20" s="5" t="s">
        <v>508</v>
      </c>
      <c r="G20" s="5" t="s">
        <v>486</v>
      </c>
      <c r="H20" s="5" t="s">
        <v>131</v>
      </c>
      <c r="I20" s="5" t="s">
        <v>487</v>
      </c>
      <c r="J20" s="5" t="s">
        <v>526</v>
      </c>
      <c r="K20" s="5" t="s">
        <v>527</v>
      </c>
      <c r="L20" s="6" t="s">
        <v>511</v>
      </c>
      <c r="M20" s="6" t="s">
        <v>406</v>
      </c>
      <c r="N20" s="5"/>
    </row>
    <row r="21" customFormat="false" ht="27.75" hidden="false" customHeight="true" outlineLevel="0" collapsed="false">
      <c r="B21" s="5" t="s">
        <v>528</v>
      </c>
      <c r="C21" s="5" t="s">
        <v>529</v>
      </c>
      <c r="D21" s="5" t="s">
        <v>483</v>
      </c>
      <c r="E21" s="6" t="s">
        <v>530</v>
      </c>
      <c r="F21" s="5" t="s">
        <v>515</v>
      </c>
      <c r="G21" s="5" t="s">
        <v>486</v>
      </c>
      <c r="H21" s="5" t="s">
        <v>131</v>
      </c>
      <c r="I21" s="5" t="s">
        <v>487</v>
      </c>
      <c r="J21" s="5" t="s">
        <v>531</v>
      </c>
      <c r="K21" s="5" t="s">
        <v>532</v>
      </c>
      <c r="L21" s="6" t="s">
        <v>498</v>
      </c>
      <c r="M21" s="6" t="s">
        <v>396</v>
      </c>
      <c r="N21" s="5"/>
    </row>
    <row r="22" customFormat="false" ht="27.75" hidden="false" customHeight="true" outlineLevel="0" collapsed="false">
      <c r="B22" s="5" t="s">
        <v>533</v>
      </c>
      <c r="C22" s="5" t="s">
        <v>534</v>
      </c>
      <c r="D22" s="5" t="s">
        <v>483</v>
      </c>
      <c r="E22" s="6" t="s">
        <v>535</v>
      </c>
      <c r="F22" s="5" t="s">
        <v>515</v>
      </c>
      <c r="G22" s="5" t="s">
        <v>486</v>
      </c>
      <c r="H22" s="5" t="s">
        <v>131</v>
      </c>
      <c r="I22" s="5" t="s">
        <v>487</v>
      </c>
      <c r="J22" s="5" t="s">
        <v>536</v>
      </c>
      <c r="K22" s="5" t="s">
        <v>537</v>
      </c>
      <c r="L22" s="6" t="s">
        <v>498</v>
      </c>
      <c r="M22" s="6" t="s">
        <v>396</v>
      </c>
      <c r="N22" s="5"/>
    </row>
    <row r="23" customFormat="false" ht="27.75" hidden="false" customHeight="true" outlineLevel="0" collapsed="false">
      <c r="B23" s="5" t="s">
        <v>538</v>
      </c>
      <c r="C23" s="5"/>
      <c r="D23" s="5" t="s">
        <v>539</v>
      </c>
      <c r="E23" s="6" t="s">
        <v>540</v>
      </c>
      <c r="F23" s="6" t="s">
        <v>541</v>
      </c>
      <c r="G23" s="5" t="s">
        <v>486</v>
      </c>
      <c r="H23" s="5" t="s">
        <v>131</v>
      </c>
      <c r="I23" s="5" t="s">
        <v>487</v>
      </c>
      <c r="J23" s="5" t="s">
        <v>542</v>
      </c>
      <c r="K23" s="5" t="s">
        <v>543</v>
      </c>
      <c r="L23" s="6" t="s">
        <v>544</v>
      </c>
      <c r="M23" s="6" t="s">
        <v>396</v>
      </c>
      <c r="N23" s="6" t="s">
        <v>545</v>
      </c>
    </row>
    <row r="24" customFormat="false" ht="27.75" hidden="false" customHeight="true" outlineLevel="0" collapsed="false">
      <c r="B24" s="5" t="s">
        <v>546</v>
      </c>
      <c r="C24" s="5"/>
      <c r="D24" s="5" t="s">
        <v>539</v>
      </c>
      <c r="E24" s="6" t="s">
        <v>547</v>
      </c>
      <c r="F24" s="6" t="s">
        <v>541</v>
      </c>
      <c r="G24" s="5" t="s">
        <v>486</v>
      </c>
      <c r="H24" s="5" t="s">
        <v>131</v>
      </c>
      <c r="I24" s="5" t="s">
        <v>487</v>
      </c>
      <c r="J24" s="5" t="s">
        <v>548</v>
      </c>
      <c r="K24" s="5" t="s">
        <v>549</v>
      </c>
      <c r="L24" s="6" t="s">
        <v>550</v>
      </c>
      <c r="M24" s="6" t="s">
        <v>396</v>
      </c>
      <c r="N24" s="5"/>
    </row>
    <row r="25" customFormat="false" ht="27.75" hidden="false" customHeight="true" outlineLevel="0" collapsed="false">
      <c r="B25" s="5" t="s">
        <v>551</v>
      </c>
      <c r="C25" s="5"/>
      <c r="D25" s="5" t="s">
        <v>539</v>
      </c>
      <c r="E25" s="6" t="s">
        <v>552</v>
      </c>
      <c r="F25" s="6" t="s">
        <v>541</v>
      </c>
      <c r="G25" s="5" t="s">
        <v>486</v>
      </c>
      <c r="H25" s="5" t="s">
        <v>131</v>
      </c>
      <c r="I25" s="5" t="s">
        <v>487</v>
      </c>
      <c r="J25" s="5" t="s">
        <v>553</v>
      </c>
      <c r="K25" s="5" t="s">
        <v>554</v>
      </c>
      <c r="L25" s="6" t="s">
        <v>555</v>
      </c>
      <c r="M25" s="6" t="s">
        <v>396</v>
      </c>
      <c r="N25" s="5"/>
    </row>
    <row r="26" customFormat="false" ht="27.75" hidden="false" customHeight="true" outlineLevel="0" collapsed="false">
      <c r="B26" s="5" t="s">
        <v>556</v>
      </c>
      <c r="C26" s="5"/>
      <c r="D26" s="5" t="s">
        <v>557</v>
      </c>
      <c r="E26" s="6" t="s">
        <v>558</v>
      </c>
      <c r="F26" s="6" t="s">
        <v>541</v>
      </c>
      <c r="G26" s="5" t="s">
        <v>486</v>
      </c>
      <c r="H26" s="5" t="s">
        <v>131</v>
      </c>
      <c r="I26" s="5" t="s">
        <v>487</v>
      </c>
      <c r="J26" s="5" t="s">
        <v>559</v>
      </c>
      <c r="K26" s="5" t="s">
        <v>560</v>
      </c>
      <c r="L26" s="6" t="s">
        <v>561</v>
      </c>
      <c r="M26" s="6" t="s">
        <v>396</v>
      </c>
      <c r="N26" s="5"/>
    </row>
    <row r="27" customFormat="false" ht="27.75" hidden="false" customHeight="true" outlineLevel="0" collapsed="false">
      <c r="B27" s="5" t="s">
        <v>562</v>
      </c>
      <c r="C27" s="5"/>
      <c r="D27" s="5" t="s">
        <v>563</v>
      </c>
      <c r="E27" s="6" t="s">
        <v>564</v>
      </c>
      <c r="F27" s="6" t="s">
        <v>565</v>
      </c>
      <c r="G27" s="5" t="s">
        <v>486</v>
      </c>
      <c r="H27" s="5" t="s">
        <v>131</v>
      </c>
      <c r="I27" s="5" t="s">
        <v>487</v>
      </c>
      <c r="J27" s="5" t="s">
        <v>566</v>
      </c>
      <c r="K27" s="5" t="s">
        <v>567</v>
      </c>
      <c r="L27" s="6" t="s">
        <v>568</v>
      </c>
      <c r="M27" s="6" t="s">
        <v>396</v>
      </c>
      <c r="N27" s="6" t="s">
        <v>569</v>
      </c>
    </row>
    <row r="28" customFormat="false" ht="27.75" hidden="false" customHeight="true" outlineLevel="0" collapsed="false">
      <c r="B28" s="5" t="s">
        <v>570</v>
      </c>
      <c r="C28" s="5"/>
      <c r="D28" s="5" t="s">
        <v>563</v>
      </c>
      <c r="E28" s="5" t="s">
        <v>571</v>
      </c>
      <c r="F28" s="5" t="s">
        <v>508</v>
      </c>
      <c r="G28" s="5" t="s">
        <v>486</v>
      </c>
      <c r="H28" s="5" t="s">
        <v>131</v>
      </c>
      <c r="I28" s="5" t="s">
        <v>487</v>
      </c>
      <c r="J28" s="5" t="s">
        <v>572</v>
      </c>
      <c r="K28" s="5" t="s">
        <v>573</v>
      </c>
      <c r="L28" s="6" t="s">
        <v>574</v>
      </c>
      <c r="M28" s="6" t="s">
        <v>396</v>
      </c>
      <c r="N28" s="5"/>
    </row>
    <row r="29" customFormat="false" ht="27.75" hidden="false" customHeight="true" outlineLevel="0" collapsed="false">
      <c r="B29" s="5" t="s">
        <v>575</v>
      </c>
      <c r="C29" s="5"/>
      <c r="D29" s="5" t="s">
        <v>576</v>
      </c>
      <c r="E29" s="6" t="s">
        <v>577</v>
      </c>
      <c r="F29" s="5" t="s">
        <v>508</v>
      </c>
      <c r="G29" s="5" t="s">
        <v>486</v>
      </c>
      <c r="H29" s="5" t="s">
        <v>131</v>
      </c>
      <c r="I29" s="5" t="s">
        <v>487</v>
      </c>
      <c r="J29" s="5" t="s">
        <v>578</v>
      </c>
      <c r="K29" s="5" t="s">
        <v>579</v>
      </c>
      <c r="L29" s="6" t="s">
        <v>580</v>
      </c>
      <c r="M29" s="6" t="s">
        <v>396</v>
      </c>
      <c r="N29" s="5"/>
    </row>
    <row r="30" customFormat="false" ht="27.75" hidden="false" customHeight="true" outlineLevel="0" collapsed="false">
      <c r="B30" s="5" t="s">
        <v>581</v>
      </c>
      <c r="C30" s="5"/>
      <c r="D30" s="6" t="s">
        <v>582</v>
      </c>
      <c r="E30" s="6" t="s">
        <v>583</v>
      </c>
      <c r="F30" s="5" t="s">
        <v>508</v>
      </c>
      <c r="G30" s="5" t="s">
        <v>486</v>
      </c>
      <c r="H30" s="5" t="s">
        <v>131</v>
      </c>
      <c r="I30" s="5" t="s">
        <v>487</v>
      </c>
      <c r="J30" s="5" t="s">
        <v>584</v>
      </c>
      <c r="K30" s="5" t="s">
        <v>585</v>
      </c>
      <c r="L30" s="6" t="s">
        <v>586</v>
      </c>
      <c r="M30" s="6" t="s">
        <v>396</v>
      </c>
      <c r="N30" s="5"/>
    </row>
    <row r="31" customFormat="false" ht="27.75" hidden="false" customHeight="true" outlineLevel="0" collapsed="false">
      <c r="B31" s="5" t="s">
        <v>587</v>
      </c>
      <c r="C31" s="5"/>
      <c r="D31" s="5" t="s">
        <v>588</v>
      </c>
      <c r="E31" s="6" t="s">
        <v>589</v>
      </c>
      <c r="F31" s="5" t="s">
        <v>590</v>
      </c>
      <c r="G31" s="5" t="s">
        <v>486</v>
      </c>
      <c r="H31" s="5" t="s">
        <v>131</v>
      </c>
      <c r="I31" s="5" t="s">
        <v>487</v>
      </c>
      <c r="J31" s="5" t="s">
        <v>591</v>
      </c>
      <c r="K31" s="5" t="s">
        <v>592</v>
      </c>
      <c r="L31" s="5" t="s">
        <v>593</v>
      </c>
      <c r="M31" s="5" t="s">
        <v>76</v>
      </c>
      <c r="N31" s="6" t="s">
        <v>594</v>
      </c>
    </row>
    <row r="32" customFormat="false" ht="27.75" hidden="false" customHeight="true" outlineLevel="0" collapsed="false">
      <c r="B32" s="5" t="s">
        <v>595</v>
      </c>
      <c r="C32" s="5"/>
      <c r="D32" s="5" t="s">
        <v>588</v>
      </c>
      <c r="E32" s="6" t="s">
        <v>596</v>
      </c>
      <c r="F32" s="5" t="s">
        <v>590</v>
      </c>
      <c r="G32" s="5" t="s">
        <v>486</v>
      </c>
      <c r="H32" s="5" t="s">
        <v>131</v>
      </c>
      <c r="I32" s="5" t="s">
        <v>487</v>
      </c>
      <c r="J32" s="5" t="s">
        <v>597</v>
      </c>
      <c r="K32" s="5" t="s">
        <v>598</v>
      </c>
      <c r="L32" s="5" t="s">
        <v>593</v>
      </c>
      <c r="M32" s="5" t="s">
        <v>76</v>
      </c>
      <c r="N32" s="5"/>
    </row>
    <row r="33" customFormat="false" ht="27.75" hidden="false" customHeight="true" outlineLevel="0" collapsed="false">
      <c r="B33" s="6" t="s">
        <v>599</v>
      </c>
      <c r="C33" s="5"/>
      <c r="D33" s="5" t="s">
        <v>588</v>
      </c>
      <c r="E33" s="6" t="s">
        <v>600</v>
      </c>
      <c r="F33" s="5" t="s">
        <v>508</v>
      </c>
      <c r="G33" s="5" t="s">
        <v>486</v>
      </c>
      <c r="H33" s="5" t="s">
        <v>131</v>
      </c>
      <c r="I33" s="5" t="s">
        <v>487</v>
      </c>
      <c r="J33" s="5" t="s">
        <v>601</v>
      </c>
      <c r="K33" s="5" t="s">
        <v>602</v>
      </c>
      <c r="L33" s="5" t="s">
        <v>593</v>
      </c>
      <c r="M33" s="5" t="s">
        <v>76</v>
      </c>
      <c r="N33" s="5"/>
    </row>
    <row r="34" customFormat="false" ht="27.75" hidden="false" customHeight="true" outlineLevel="0" collapsed="false">
      <c r="B34" s="6" t="s">
        <v>603</v>
      </c>
      <c r="C34" s="5"/>
      <c r="D34" s="5" t="s">
        <v>557</v>
      </c>
      <c r="E34" s="6" t="s">
        <v>604</v>
      </c>
      <c r="F34" s="5" t="s">
        <v>199</v>
      </c>
      <c r="G34" s="5" t="s">
        <v>486</v>
      </c>
      <c r="H34" s="5" t="s">
        <v>131</v>
      </c>
      <c r="I34" s="5" t="s">
        <v>487</v>
      </c>
      <c r="J34" s="5" t="s">
        <v>605</v>
      </c>
      <c r="K34" s="6" t="s">
        <v>606</v>
      </c>
      <c r="L34" s="6" t="s">
        <v>607</v>
      </c>
      <c r="M34" s="6" t="s">
        <v>396</v>
      </c>
      <c r="N34" s="6" t="s">
        <v>608</v>
      </c>
    </row>
    <row r="35" customFormat="false" ht="27.75" hidden="false" customHeight="true" outlineLevel="0" collapsed="false">
      <c r="B35" s="5" t="s">
        <v>609</v>
      </c>
      <c r="C35" s="5"/>
      <c r="D35" s="5" t="s">
        <v>539</v>
      </c>
      <c r="E35" s="6" t="s">
        <v>610</v>
      </c>
      <c r="F35" s="5" t="s">
        <v>199</v>
      </c>
      <c r="G35" s="5" t="s">
        <v>486</v>
      </c>
      <c r="H35" s="5" t="s">
        <v>131</v>
      </c>
      <c r="I35" s="5" t="s">
        <v>487</v>
      </c>
      <c r="J35" s="5" t="s">
        <v>605</v>
      </c>
      <c r="K35" s="5" t="s">
        <v>611</v>
      </c>
      <c r="L35" s="6" t="s">
        <v>612</v>
      </c>
      <c r="M35" s="6" t="s">
        <v>396</v>
      </c>
      <c r="N35" s="6" t="s">
        <v>613</v>
      </c>
    </row>
    <row r="36" customFormat="false" ht="27.75" hidden="false" customHeight="true" outlineLevel="0" collapsed="false">
      <c r="B36" s="6" t="s">
        <v>614</v>
      </c>
      <c r="C36" s="5"/>
      <c r="D36" s="5" t="s">
        <v>615</v>
      </c>
      <c r="E36" s="6" t="s">
        <v>616</v>
      </c>
      <c r="F36" s="5" t="s">
        <v>199</v>
      </c>
      <c r="G36" s="5" t="s">
        <v>486</v>
      </c>
      <c r="H36" s="5" t="s">
        <v>131</v>
      </c>
      <c r="I36" s="5" t="s">
        <v>487</v>
      </c>
      <c r="J36" s="5" t="s">
        <v>605</v>
      </c>
      <c r="K36" s="5" t="s">
        <v>617</v>
      </c>
      <c r="L36" s="6" t="s">
        <v>618</v>
      </c>
      <c r="M36" s="5" t="s">
        <v>76</v>
      </c>
      <c r="N36" s="5"/>
    </row>
    <row r="37" customFormat="false" ht="27.75" hidden="false" customHeight="true" outlineLevel="0" collapsed="false">
      <c r="B37" s="5" t="s">
        <v>619</v>
      </c>
      <c r="C37" s="5"/>
      <c r="D37" s="5" t="s">
        <v>588</v>
      </c>
      <c r="E37" s="6" t="s">
        <v>620</v>
      </c>
      <c r="F37" s="5" t="s">
        <v>199</v>
      </c>
      <c r="G37" s="5" t="s">
        <v>486</v>
      </c>
      <c r="H37" s="5" t="s">
        <v>131</v>
      </c>
      <c r="I37" s="5" t="s">
        <v>487</v>
      </c>
      <c r="J37" s="5" t="s">
        <v>605</v>
      </c>
      <c r="K37" s="5" t="s">
        <v>621</v>
      </c>
      <c r="L37" s="5" t="s">
        <v>593</v>
      </c>
      <c r="M37" s="5" t="s">
        <v>76</v>
      </c>
      <c r="N37" s="6" t="s">
        <v>622</v>
      </c>
    </row>
    <row r="38" customFormat="false" ht="27.75" hidden="false" customHeight="true" outlineLevel="0" collapsed="false">
      <c r="B38" s="5" t="s">
        <v>623</v>
      </c>
      <c r="C38" s="5"/>
      <c r="D38" s="5" t="s">
        <v>624</v>
      </c>
      <c r="E38" s="6" t="s">
        <v>625</v>
      </c>
      <c r="F38" s="6" t="s">
        <v>626</v>
      </c>
      <c r="G38" s="5" t="s">
        <v>627</v>
      </c>
      <c r="H38" s="5" t="s">
        <v>131</v>
      </c>
      <c r="I38" s="5" t="s">
        <v>628</v>
      </c>
      <c r="J38" s="5" t="s">
        <v>629</v>
      </c>
      <c r="K38" s="5" t="s">
        <v>630</v>
      </c>
      <c r="L38" s="6" t="s">
        <v>631</v>
      </c>
      <c r="M38" s="6" t="s">
        <v>396</v>
      </c>
      <c r="N38" s="6" t="s">
        <v>632</v>
      </c>
    </row>
    <row r="39" customFormat="false" ht="27.75" hidden="false" customHeight="true" outlineLevel="0" collapsed="false">
      <c r="B39" s="5" t="s">
        <v>633</v>
      </c>
      <c r="C39" s="5"/>
      <c r="D39" s="5" t="s">
        <v>624</v>
      </c>
      <c r="E39" s="6" t="s">
        <v>634</v>
      </c>
      <c r="F39" s="6" t="s">
        <v>626</v>
      </c>
      <c r="G39" s="5" t="s">
        <v>627</v>
      </c>
      <c r="H39" s="5" t="s">
        <v>131</v>
      </c>
      <c r="I39" s="5" t="s">
        <v>628</v>
      </c>
      <c r="J39" s="5" t="s">
        <v>635</v>
      </c>
      <c r="K39" s="5" t="s">
        <v>636</v>
      </c>
      <c r="L39" s="6" t="s">
        <v>637</v>
      </c>
      <c r="M39" s="6" t="s">
        <v>396</v>
      </c>
      <c r="N39" s="5"/>
    </row>
    <row r="40" customFormat="false" ht="27.75" hidden="false" customHeight="true" outlineLevel="0" collapsed="false">
      <c r="B40" s="5" t="s">
        <v>638</v>
      </c>
      <c r="C40" s="5"/>
      <c r="D40" s="5" t="s">
        <v>624</v>
      </c>
      <c r="E40" s="6" t="s">
        <v>639</v>
      </c>
      <c r="F40" s="6" t="s">
        <v>626</v>
      </c>
      <c r="G40" s="5" t="s">
        <v>627</v>
      </c>
      <c r="H40" s="5" t="s">
        <v>131</v>
      </c>
      <c r="I40" s="5" t="s">
        <v>628</v>
      </c>
      <c r="J40" s="5" t="s">
        <v>640</v>
      </c>
      <c r="K40" s="5" t="s">
        <v>641</v>
      </c>
      <c r="L40" s="6" t="s">
        <v>642</v>
      </c>
      <c r="M40" s="6" t="s">
        <v>396</v>
      </c>
      <c r="N40" s="5"/>
    </row>
    <row r="41" customFormat="false" ht="27.75" hidden="false" customHeight="true" outlineLevel="0" collapsed="false">
      <c r="B41" s="5" t="s">
        <v>643</v>
      </c>
      <c r="C41" s="5"/>
      <c r="D41" s="6" t="s">
        <v>644</v>
      </c>
      <c r="E41" s="6" t="s">
        <v>645</v>
      </c>
      <c r="F41" s="6" t="s">
        <v>626</v>
      </c>
      <c r="G41" s="5" t="s">
        <v>627</v>
      </c>
      <c r="H41" s="5" t="s">
        <v>131</v>
      </c>
      <c r="I41" s="5" t="s">
        <v>628</v>
      </c>
      <c r="J41" s="5" t="s">
        <v>646</v>
      </c>
      <c r="K41" s="5" t="s">
        <v>647</v>
      </c>
      <c r="L41" s="5" t="s">
        <v>648</v>
      </c>
      <c r="M41" s="6" t="s">
        <v>396</v>
      </c>
      <c r="N41" s="5"/>
    </row>
    <row r="42" customFormat="false" ht="27.75" hidden="false" customHeight="true" outlineLevel="0" collapsed="false">
      <c r="B42" s="5" t="s">
        <v>649</v>
      </c>
      <c r="C42" s="5"/>
      <c r="D42" s="6" t="s">
        <v>644</v>
      </c>
      <c r="E42" s="6" t="s">
        <v>650</v>
      </c>
      <c r="F42" s="6" t="s">
        <v>651</v>
      </c>
      <c r="G42" s="5" t="s">
        <v>627</v>
      </c>
      <c r="H42" s="5" t="s">
        <v>131</v>
      </c>
      <c r="I42" s="5" t="s">
        <v>628</v>
      </c>
      <c r="J42" s="5" t="s">
        <v>652</v>
      </c>
      <c r="K42" s="5" t="s">
        <v>653</v>
      </c>
      <c r="L42" s="6" t="s">
        <v>654</v>
      </c>
      <c r="M42" s="6" t="s">
        <v>396</v>
      </c>
      <c r="N42" s="6" t="s">
        <v>655</v>
      </c>
    </row>
    <row r="43" customFormat="false" ht="27.75" hidden="false" customHeight="true" outlineLevel="0" collapsed="false">
      <c r="B43" s="6" t="s">
        <v>656</v>
      </c>
      <c r="C43" s="5"/>
      <c r="D43" s="5" t="s">
        <v>657</v>
      </c>
      <c r="E43" s="6" t="s">
        <v>658</v>
      </c>
      <c r="F43" s="6" t="s">
        <v>626</v>
      </c>
      <c r="G43" s="5" t="s">
        <v>627</v>
      </c>
      <c r="H43" s="5" t="s">
        <v>131</v>
      </c>
      <c r="I43" s="5" t="s">
        <v>628</v>
      </c>
      <c r="J43" s="5" t="s">
        <v>659</v>
      </c>
      <c r="K43" s="5" t="s">
        <v>660</v>
      </c>
      <c r="L43" s="6" t="s">
        <v>661</v>
      </c>
      <c r="M43" s="6" t="s">
        <v>396</v>
      </c>
      <c r="N43" s="6" t="s">
        <v>662</v>
      </c>
    </row>
    <row r="44" customFormat="false" ht="27.75" hidden="false" customHeight="true" outlineLevel="0" collapsed="false">
      <c r="B44" s="5" t="s">
        <v>663</v>
      </c>
      <c r="C44" s="5"/>
      <c r="D44" s="5" t="s">
        <v>588</v>
      </c>
      <c r="E44" s="6" t="s">
        <v>664</v>
      </c>
      <c r="F44" s="6" t="s">
        <v>626</v>
      </c>
      <c r="G44" s="5" t="s">
        <v>627</v>
      </c>
      <c r="H44" s="5" t="s">
        <v>131</v>
      </c>
      <c r="I44" s="5" t="s">
        <v>628</v>
      </c>
      <c r="J44" s="5" t="s">
        <v>665</v>
      </c>
      <c r="K44" s="5" t="s">
        <v>666</v>
      </c>
      <c r="L44" s="6" t="s">
        <v>667</v>
      </c>
      <c r="M44" s="5" t="s">
        <v>76</v>
      </c>
      <c r="N44" s="5"/>
    </row>
    <row r="45" customFormat="false" ht="27.75" hidden="false" customHeight="true" outlineLevel="0" collapsed="false">
      <c r="B45" s="5" t="s">
        <v>668</v>
      </c>
      <c r="C45" s="5"/>
      <c r="D45" s="5" t="s">
        <v>588</v>
      </c>
      <c r="E45" s="6" t="s">
        <v>669</v>
      </c>
      <c r="F45" s="6" t="s">
        <v>626</v>
      </c>
      <c r="G45" s="5" t="s">
        <v>627</v>
      </c>
      <c r="H45" s="5" t="s">
        <v>131</v>
      </c>
      <c r="I45" s="5" t="s">
        <v>628</v>
      </c>
      <c r="J45" s="5" t="s">
        <v>670</v>
      </c>
      <c r="K45" s="5" t="s">
        <v>671</v>
      </c>
      <c r="L45" s="6" t="s">
        <v>667</v>
      </c>
      <c r="M45" s="5" t="s">
        <v>76</v>
      </c>
      <c r="N45" s="5"/>
    </row>
    <row r="46" customFormat="false" ht="27.75" hidden="false" customHeight="true" outlineLevel="0" collapsed="false">
      <c r="B46" s="6" t="s">
        <v>672</v>
      </c>
      <c r="C46" s="5"/>
      <c r="D46" s="5" t="s">
        <v>673</v>
      </c>
      <c r="E46" s="6" t="s">
        <v>674</v>
      </c>
      <c r="F46" s="5" t="s">
        <v>199</v>
      </c>
      <c r="G46" s="5" t="s">
        <v>627</v>
      </c>
      <c r="H46" s="5" t="s">
        <v>131</v>
      </c>
      <c r="I46" s="5" t="s">
        <v>628</v>
      </c>
      <c r="J46" s="5" t="s">
        <v>675</v>
      </c>
      <c r="K46" s="6" t="s">
        <v>676</v>
      </c>
      <c r="L46" s="6" t="s">
        <v>677</v>
      </c>
      <c r="M46" s="6" t="s">
        <v>396</v>
      </c>
      <c r="N46" s="6" t="s">
        <v>678</v>
      </c>
    </row>
    <row r="47" customFormat="false" ht="27.75" hidden="false" customHeight="true" outlineLevel="0" collapsed="false">
      <c r="B47" s="6" t="s">
        <v>679</v>
      </c>
      <c r="C47" s="5"/>
      <c r="D47" s="5" t="s">
        <v>657</v>
      </c>
      <c r="E47" s="6" t="s">
        <v>680</v>
      </c>
      <c r="F47" s="5" t="s">
        <v>199</v>
      </c>
      <c r="G47" s="5" t="s">
        <v>627</v>
      </c>
      <c r="H47" s="5" t="s">
        <v>131</v>
      </c>
      <c r="I47" s="5" t="s">
        <v>628</v>
      </c>
      <c r="J47" s="5" t="s">
        <v>675</v>
      </c>
      <c r="K47" s="5" t="s">
        <v>681</v>
      </c>
      <c r="L47" s="6" t="s">
        <v>682</v>
      </c>
      <c r="M47" s="6" t="s">
        <v>396</v>
      </c>
      <c r="N47" s="5"/>
    </row>
    <row r="48" customFormat="false" ht="27.75" hidden="false" customHeight="true" outlineLevel="0" collapsed="false">
      <c r="B48" s="6" t="s">
        <v>683</v>
      </c>
      <c r="C48" s="5"/>
      <c r="D48" s="5" t="s">
        <v>684</v>
      </c>
      <c r="E48" s="6" t="s">
        <v>685</v>
      </c>
      <c r="F48" s="5" t="s">
        <v>199</v>
      </c>
      <c r="G48" s="5" t="s">
        <v>627</v>
      </c>
      <c r="H48" s="5" t="s">
        <v>131</v>
      </c>
      <c r="I48" s="5" t="s">
        <v>628</v>
      </c>
      <c r="J48" s="5" t="s">
        <v>675</v>
      </c>
      <c r="K48" s="5" t="s">
        <v>686</v>
      </c>
      <c r="L48" s="6" t="s">
        <v>687</v>
      </c>
      <c r="M48" s="5" t="s">
        <v>76</v>
      </c>
      <c r="N48" s="6" t="s">
        <v>688</v>
      </c>
    </row>
    <row r="49" customFormat="false" ht="27.75" hidden="false" customHeight="true" outlineLevel="0" collapsed="false">
      <c r="B49" s="5" t="s">
        <v>689</v>
      </c>
      <c r="C49" s="5"/>
      <c r="D49" s="5" t="s">
        <v>690</v>
      </c>
      <c r="E49" s="6" t="s">
        <v>691</v>
      </c>
      <c r="F49" s="5" t="s">
        <v>199</v>
      </c>
      <c r="G49" s="5" t="s">
        <v>627</v>
      </c>
      <c r="H49" s="5" t="s">
        <v>131</v>
      </c>
      <c r="I49" s="5" t="s">
        <v>628</v>
      </c>
      <c r="J49" s="5" t="s">
        <v>675</v>
      </c>
      <c r="K49" s="5" t="s">
        <v>692</v>
      </c>
      <c r="L49" s="6" t="s">
        <v>693</v>
      </c>
      <c r="M49" s="5" t="s">
        <v>76</v>
      </c>
      <c r="N49" s="6" t="s">
        <v>694</v>
      </c>
    </row>
    <row r="50" customFormat="false" ht="27.75" hidden="false" customHeight="true" outlineLevel="0" collapsed="false">
      <c r="B50" s="5" t="s">
        <v>695</v>
      </c>
      <c r="C50" s="5" t="s">
        <v>696</v>
      </c>
      <c r="D50" s="5" t="s">
        <v>697</v>
      </c>
      <c r="E50" s="6" t="s">
        <v>698</v>
      </c>
      <c r="F50" s="5" t="s">
        <v>508</v>
      </c>
      <c r="G50" s="5" t="s">
        <v>486</v>
      </c>
      <c r="H50" s="5" t="s">
        <v>160</v>
      </c>
      <c r="I50" s="5" t="s">
        <v>699</v>
      </c>
      <c r="J50" s="5" t="s">
        <v>488</v>
      </c>
      <c r="K50" s="5" t="s">
        <v>700</v>
      </c>
      <c r="L50" s="6" t="s">
        <v>701</v>
      </c>
      <c r="M50" s="6" t="s">
        <v>406</v>
      </c>
      <c r="N50" s="5"/>
    </row>
    <row r="51" customFormat="false" ht="27.75" hidden="false" customHeight="true" outlineLevel="0" collapsed="false">
      <c r="B51" s="5" t="s">
        <v>702</v>
      </c>
      <c r="C51" s="5" t="s">
        <v>703</v>
      </c>
      <c r="D51" s="5" t="s">
        <v>697</v>
      </c>
      <c r="E51" s="6" t="s">
        <v>704</v>
      </c>
      <c r="F51" s="5" t="s">
        <v>508</v>
      </c>
      <c r="G51" s="5" t="s">
        <v>486</v>
      </c>
      <c r="H51" s="5" t="s">
        <v>160</v>
      </c>
      <c r="I51" s="5" t="s">
        <v>699</v>
      </c>
      <c r="J51" s="5" t="s">
        <v>496</v>
      </c>
      <c r="K51" s="5" t="s">
        <v>705</v>
      </c>
      <c r="L51" s="6" t="s">
        <v>706</v>
      </c>
      <c r="M51" s="6" t="s">
        <v>406</v>
      </c>
      <c r="N51" s="5"/>
    </row>
    <row r="52" customFormat="false" ht="27.75" hidden="false" customHeight="true" outlineLevel="0" collapsed="false">
      <c r="B52" s="5" t="s">
        <v>707</v>
      </c>
      <c r="C52" s="5"/>
      <c r="D52" s="5" t="s">
        <v>708</v>
      </c>
      <c r="E52" s="6" t="s">
        <v>709</v>
      </c>
      <c r="F52" s="5" t="s">
        <v>508</v>
      </c>
      <c r="G52" s="5" t="s">
        <v>486</v>
      </c>
      <c r="H52" s="5" t="s">
        <v>160</v>
      </c>
      <c r="I52" s="5" t="s">
        <v>699</v>
      </c>
      <c r="J52" s="5" t="s">
        <v>503</v>
      </c>
      <c r="K52" s="5" t="s">
        <v>710</v>
      </c>
      <c r="L52" s="6" t="s">
        <v>711</v>
      </c>
      <c r="M52" s="6" t="s">
        <v>396</v>
      </c>
      <c r="N52" s="6" t="s">
        <v>712</v>
      </c>
    </row>
    <row r="53" customFormat="false" ht="27.75" hidden="false" customHeight="true" outlineLevel="0" collapsed="false">
      <c r="B53" s="5" t="s">
        <v>713</v>
      </c>
      <c r="C53" s="5"/>
      <c r="D53" s="5" t="s">
        <v>708</v>
      </c>
      <c r="E53" s="6" t="s">
        <v>714</v>
      </c>
      <c r="F53" s="5" t="s">
        <v>508</v>
      </c>
      <c r="G53" s="5" t="s">
        <v>486</v>
      </c>
      <c r="H53" s="5" t="s">
        <v>160</v>
      </c>
      <c r="I53" s="5" t="s">
        <v>699</v>
      </c>
      <c r="J53" s="5" t="s">
        <v>509</v>
      </c>
      <c r="K53" s="5" t="s">
        <v>715</v>
      </c>
      <c r="L53" s="6" t="s">
        <v>711</v>
      </c>
      <c r="M53" s="6" t="s">
        <v>396</v>
      </c>
      <c r="N53" s="5"/>
    </row>
    <row r="54" customFormat="false" ht="27.75" hidden="false" customHeight="true" outlineLevel="0" collapsed="false">
      <c r="B54" s="6" t="s">
        <v>716</v>
      </c>
      <c r="C54" s="5" t="s">
        <v>717</v>
      </c>
      <c r="D54" s="5" t="s">
        <v>718</v>
      </c>
      <c r="E54" s="6" t="s">
        <v>719</v>
      </c>
      <c r="F54" s="5" t="s">
        <v>508</v>
      </c>
      <c r="G54" s="5" t="s">
        <v>486</v>
      </c>
      <c r="H54" s="5" t="s">
        <v>160</v>
      </c>
      <c r="I54" s="5" t="s">
        <v>699</v>
      </c>
      <c r="J54" s="5" t="s">
        <v>516</v>
      </c>
      <c r="K54" s="5" t="s">
        <v>720</v>
      </c>
      <c r="L54" s="6" t="s">
        <v>721</v>
      </c>
      <c r="M54" s="6" t="s">
        <v>406</v>
      </c>
      <c r="N54" s="5"/>
    </row>
    <row r="55" customFormat="false" ht="27.75" hidden="false" customHeight="true" outlineLevel="0" collapsed="false">
      <c r="B55" s="5" t="s">
        <v>722</v>
      </c>
      <c r="C55" s="5" t="s">
        <v>723</v>
      </c>
      <c r="D55" s="5" t="s">
        <v>718</v>
      </c>
      <c r="E55" s="6" t="s">
        <v>724</v>
      </c>
      <c r="F55" s="5" t="s">
        <v>508</v>
      </c>
      <c r="G55" s="5" t="s">
        <v>486</v>
      </c>
      <c r="H55" s="5" t="s">
        <v>160</v>
      </c>
      <c r="I55" s="5" t="s">
        <v>699</v>
      </c>
      <c r="J55" s="5" t="s">
        <v>521</v>
      </c>
      <c r="K55" s="5" t="s">
        <v>725</v>
      </c>
      <c r="L55" s="6" t="s">
        <v>726</v>
      </c>
      <c r="M55" s="6" t="s">
        <v>406</v>
      </c>
      <c r="N55" s="5"/>
    </row>
    <row r="56" customFormat="false" ht="27.75" hidden="false" customHeight="true" outlineLevel="0" collapsed="false">
      <c r="B56" s="5" t="s">
        <v>727</v>
      </c>
      <c r="C56" s="5" t="s">
        <v>728</v>
      </c>
      <c r="D56" s="5" t="s">
        <v>718</v>
      </c>
      <c r="E56" s="6" t="s">
        <v>729</v>
      </c>
      <c r="F56" s="5" t="s">
        <v>508</v>
      </c>
      <c r="G56" s="5" t="s">
        <v>486</v>
      </c>
      <c r="H56" s="5" t="s">
        <v>160</v>
      </c>
      <c r="I56" s="5" t="s">
        <v>699</v>
      </c>
      <c r="J56" s="5" t="s">
        <v>526</v>
      </c>
      <c r="K56" s="5" t="s">
        <v>730</v>
      </c>
      <c r="L56" s="6" t="s">
        <v>726</v>
      </c>
      <c r="M56" s="6" t="s">
        <v>406</v>
      </c>
      <c r="N56" s="5"/>
    </row>
    <row r="57" customFormat="false" ht="27.75" hidden="false" customHeight="true" outlineLevel="0" collapsed="false">
      <c r="B57" s="5" t="s">
        <v>731</v>
      </c>
      <c r="C57" s="5" t="s">
        <v>732</v>
      </c>
      <c r="D57" s="5" t="s">
        <v>718</v>
      </c>
      <c r="E57" s="6" t="s">
        <v>733</v>
      </c>
      <c r="F57" s="5" t="s">
        <v>508</v>
      </c>
      <c r="G57" s="5" t="s">
        <v>486</v>
      </c>
      <c r="H57" s="5" t="s">
        <v>160</v>
      </c>
      <c r="I57" s="5" t="s">
        <v>699</v>
      </c>
      <c r="J57" s="5" t="s">
        <v>531</v>
      </c>
      <c r="K57" s="5" t="s">
        <v>734</v>
      </c>
      <c r="L57" s="6" t="s">
        <v>726</v>
      </c>
      <c r="M57" s="6" t="s">
        <v>406</v>
      </c>
      <c r="N57" s="5"/>
    </row>
    <row r="58" customFormat="false" ht="27.75" hidden="false" customHeight="true" outlineLevel="0" collapsed="false">
      <c r="B58" s="5" t="s">
        <v>735</v>
      </c>
      <c r="C58" s="5" t="s">
        <v>736</v>
      </c>
      <c r="D58" s="5" t="s">
        <v>718</v>
      </c>
      <c r="E58" s="6" t="s">
        <v>737</v>
      </c>
      <c r="F58" s="5" t="s">
        <v>508</v>
      </c>
      <c r="G58" s="5" t="s">
        <v>486</v>
      </c>
      <c r="H58" s="5" t="s">
        <v>160</v>
      </c>
      <c r="I58" s="5" t="s">
        <v>699</v>
      </c>
      <c r="J58" s="5" t="s">
        <v>536</v>
      </c>
      <c r="K58" s="5" t="s">
        <v>738</v>
      </c>
      <c r="L58" s="6" t="s">
        <v>726</v>
      </c>
      <c r="M58" s="6" t="s">
        <v>406</v>
      </c>
      <c r="N58" s="5"/>
    </row>
    <row r="59" customFormat="false" ht="27.75" hidden="false" customHeight="true" outlineLevel="0" collapsed="false">
      <c r="B59" s="5" t="s">
        <v>739</v>
      </c>
      <c r="C59" s="5" t="s">
        <v>740</v>
      </c>
      <c r="D59" s="5" t="s">
        <v>718</v>
      </c>
      <c r="E59" s="6" t="s">
        <v>741</v>
      </c>
      <c r="F59" s="5" t="s">
        <v>508</v>
      </c>
      <c r="G59" s="5" t="s">
        <v>486</v>
      </c>
      <c r="H59" s="5" t="s">
        <v>160</v>
      </c>
      <c r="I59" s="5" t="s">
        <v>699</v>
      </c>
      <c r="J59" s="5" t="s">
        <v>542</v>
      </c>
      <c r="K59" s="5" t="s">
        <v>742</v>
      </c>
      <c r="L59" s="6" t="s">
        <v>726</v>
      </c>
      <c r="M59" s="6" t="s">
        <v>396</v>
      </c>
      <c r="N59" s="6" t="s">
        <v>743</v>
      </c>
    </row>
    <row r="60" customFormat="false" ht="27.75" hidden="false" customHeight="true" outlineLevel="0" collapsed="false">
      <c r="B60" s="5" t="s">
        <v>744</v>
      </c>
      <c r="C60" s="5"/>
      <c r="D60" s="5" t="s">
        <v>745</v>
      </c>
      <c r="E60" s="6" t="s">
        <v>746</v>
      </c>
      <c r="F60" s="5" t="s">
        <v>508</v>
      </c>
      <c r="G60" s="5" t="s">
        <v>486</v>
      </c>
      <c r="H60" s="5" t="s">
        <v>160</v>
      </c>
      <c r="I60" s="5" t="s">
        <v>699</v>
      </c>
      <c r="J60" s="5" t="s">
        <v>548</v>
      </c>
      <c r="K60" s="5" t="s">
        <v>747</v>
      </c>
      <c r="L60" s="6" t="s">
        <v>748</v>
      </c>
      <c r="M60" s="5" t="s">
        <v>76</v>
      </c>
      <c r="N60" s="5"/>
    </row>
    <row r="61" customFormat="false" ht="27.75" hidden="false" customHeight="true" outlineLevel="0" collapsed="false">
      <c r="B61" s="5" t="s">
        <v>749</v>
      </c>
      <c r="C61" s="5"/>
      <c r="D61" s="5" t="s">
        <v>750</v>
      </c>
      <c r="E61" s="6" t="s">
        <v>751</v>
      </c>
      <c r="F61" s="5" t="s">
        <v>508</v>
      </c>
      <c r="G61" s="5" t="s">
        <v>486</v>
      </c>
      <c r="H61" s="5" t="s">
        <v>160</v>
      </c>
      <c r="I61" s="5" t="s">
        <v>699</v>
      </c>
      <c r="J61" s="5" t="s">
        <v>553</v>
      </c>
      <c r="K61" s="5" t="s">
        <v>752</v>
      </c>
      <c r="L61" s="6" t="s">
        <v>753</v>
      </c>
      <c r="M61" s="6" t="s">
        <v>396</v>
      </c>
      <c r="N61" s="6" t="s">
        <v>754</v>
      </c>
    </row>
    <row r="62" customFormat="false" ht="27.75" hidden="false" customHeight="true" outlineLevel="0" collapsed="false">
      <c r="B62" s="6" t="s">
        <v>755</v>
      </c>
      <c r="C62" s="5"/>
      <c r="D62" s="5" t="s">
        <v>718</v>
      </c>
      <c r="E62" s="6" t="s">
        <v>756</v>
      </c>
      <c r="F62" s="5" t="s">
        <v>199</v>
      </c>
      <c r="G62" s="5" t="s">
        <v>486</v>
      </c>
      <c r="H62" s="5" t="s">
        <v>160</v>
      </c>
      <c r="I62" s="5" t="s">
        <v>699</v>
      </c>
      <c r="J62" s="5" t="s">
        <v>605</v>
      </c>
      <c r="K62" s="6" t="s">
        <v>757</v>
      </c>
      <c r="L62" s="6" t="s">
        <v>758</v>
      </c>
      <c r="M62" s="6" t="s">
        <v>396</v>
      </c>
      <c r="N62" s="5"/>
    </row>
    <row r="63" customFormat="false" ht="27.75" hidden="false" customHeight="true" outlineLevel="0" collapsed="false">
      <c r="B63" s="5" t="s">
        <v>759</v>
      </c>
      <c r="C63" s="5"/>
      <c r="D63" s="5" t="s">
        <v>588</v>
      </c>
      <c r="E63" s="6" t="s">
        <v>760</v>
      </c>
      <c r="F63" s="5" t="s">
        <v>590</v>
      </c>
      <c r="G63" s="5" t="s">
        <v>486</v>
      </c>
      <c r="H63" s="5" t="s">
        <v>160</v>
      </c>
      <c r="I63" s="5" t="s">
        <v>699</v>
      </c>
      <c r="J63" s="5" t="s">
        <v>605</v>
      </c>
      <c r="K63" s="5" t="s">
        <v>761</v>
      </c>
      <c r="L63" s="5" t="s">
        <v>593</v>
      </c>
      <c r="M63" s="5" t="s">
        <v>76</v>
      </c>
      <c r="N63" s="5"/>
    </row>
    <row r="64" customFormat="false" ht="27.75" hidden="false" customHeight="true" outlineLevel="0" collapsed="false">
      <c r="B64" s="6" t="s">
        <v>762</v>
      </c>
      <c r="C64" s="5"/>
      <c r="D64" s="5" t="s">
        <v>588</v>
      </c>
      <c r="E64" s="6" t="s">
        <v>763</v>
      </c>
      <c r="F64" s="5" t="s">
        <v>199</v>
      </c>
      <c r="G64" s="5" t="s">
        <v>486</v>
      </c>
      <c r="H64" s="5" t="s">
        <v>160</v>
      </c>
      <c r="I64" s="5" t="s">
        <v>699</v>
      </c>
      <c r="J64" s="5" t="s">
        <v>605</v>
      </c>
      <c r="K64" s="6" t="s">
        <v>764</v>
      </c>
      <c r="L64" s="5" t="s">
        <v>593</v>
      </c>
      <c r="M64" s="5" t="s">
        <v>76</v>
      </c>
      <c r="N64" s="6" t="s">
        <v>765</v>
      </c>
    </row>
    <row r="65" customFormat="false" ht="27.75" hidden="false" customHeight="true" outlineLevel="0" collapsed="false">
      <c r="B65" s="5" t="s">
        <v>766</v>
      </c>
      <c r="C65" s="5"/>
      <c r="D65" s="5" t="s">
        <v>767</v>
      </c>
      <c r="E65" s="6" t="s">
        <v>768</v>
      </c>
      <c r="F65" s="5" t="s">
        <v>590</v>
      </c>
      <c r="G65" s="5" t="s">
        <v>486</v>
      </c>
      <c r="H65" s="5" t="s">
        <v>160</v>
      </c>
      <c r="I65" s="5" t="s">
        <v>699</v>
      </c>
      <c r="J65" s="5" t="s">
        <v>605</v>
      </c>
      <c r="K65" s="5" t="s">
        <v>769</v>
      </c>
      <c r="L65" s="6" t="s">
        <v>770</v>
      </c>
      <c r="M65" s="5" t="s">
        <v>76</v>
      </c>
      <c r="N65" s="5"/>
    </row>
    <row r="66" customFormat="false" ht="27.75" hidden="false" customHeight="true" outlineLevel="0" collapsed="false">
      <c r="B66" s="6" t="s">
        <v>771</v>
      </c>
      <c r="C66" s="5"/>
      <c r="D66" s="5" t="s">
        <v>772</v>
      </c>
      <c r="E66" s="6" t="s">
        <v>773</v>
      </c>
      <c r="F66" s="5" t="s">
        <v>199</v>
      </c>
      <c r="G66" s="5" t="s">
        <v>486</v>
      </c>
      <c r="H66" s="5" t="s">
        <v>160</v>
      </c>
      <c r="I66" s="5" t="s">
        <v>699</v>
      </c>
      <c r="J66" s="5" t="s">
        <v>605</v>
      </c>
      <c r="K66" s="6" t="s">
        <v>774</v>
      </c>
      <c r="L66" s="6" t="s">
        <v>775</v>
      </c>
      <c r="M66" s="5" t="s">
        <v>76</v>
      </c>
      <c r="N66" s="5" t="s">
        <v>776</v>
      </c>
    </row>
    <row r="67" customFormat="false" ht="27.75" hidden="false" customHeight="true" outlineLevel="0" collapsed="false">
      <c r="B67" s="6" t="s">
        <v>777</v>
      </c>
      <c r="C67" s="5" t="s">
        <v>778</v>
      </c>
      <c r="D67" s="5" t="s">
        <v>697</v>
      </c>
      <c r="E67" s="6" t="s">
        <v>779</v>
      </c>
      <c r="F67" s="6" t="s">
        <v>626</v>
      </c>
      <c r="G67" s="5" t="s">
        <v>627</v>
      </c>
      <c r="H67" s="5" t="s">
        <v>160</v>
      </c>
      <c r="I67" s="5" t="s">
        <v>780</v>
      </c>
      <c r="J67" s="5" t="s">
        <v>629</v>
      </c>
      <c r="K67" s="6" t="s">
        <v>781</v>
      </c>
      <c r="L67" s="6" t="s">
        <v>782</v>
      </c>
      <c r="M67" s="6" t="s">
        <v>406</v>
      </c>
      <c r="N67" s="6" t="s">
        <v>783</v>
      </c>
    </row>
    <row r="68" customFormat="false" ht="27.75" hidden="false" customHeight="true" outlineLevel="0" collapsed="false">
      <c r="B68" s="5" t="s">
        <v>784</v>
      </c>
      <c r="C68" s="5" t="s">
        <v>785</v>
      </c>
      <c r="D68" s="5" t="s">
        <v>718</v>
      </c>
      <c r="E68" s="6" t="s">
        <v>786</v>
      </c>
      <c r="F68" s="6" t="s">
        <v>626</v>
      </c>
      <c r="G68" s="5" t="s">
        <v>627</v>
      </c>
      <c r="H68" s="5" t="s">
        <v>160</v>
      </c>
      <c r="I68" s="5" t="s">
        <v>780</v>
      </c>
      <c r="J68" s="5" t="s">
        <v>635</v>
      </c>
      <c r="K68" s="5" t="s">
        <v>787</v>
      </c>
      <c r="L68" s="6" t="s">
        <v>782</v>
      </c>
      <c r="M68" s="6" t="s">
        <v>406</v>
      </c>
      <c r="N68" s="5"/>
    </row>
    <row r="69" customFormat="false" ht="27.75" hidden="false" customHeight="true" outlineLevel="0" collapsed="false">
      <c r="B69" s="5" t="s">
        <v>788</v>
      </c>
      <c r="C69" s="5" t="s">
        <v>789</v>
      </c>
      <c r="D69" s="5" t="s">
        <v>718</v>
      </c>
      <c r="E69" s="6" t="s">
        <v>790</v>
      </c>
      <c r="F69" s="6" t="s">
        <v>626</v>
      </c>
      <c r="G69" s="5" t="s">
        <v>627</v>
      </c>
      <c r="H69" s="5" t="s">
        <v>160</v>
      </c>
      <c r="I69" s="5" t="s">
        <v>780</v>
      </c>
      <c r="J69" s="5" t="s">
        <v>640</v>
      </c>
      <c r="K69" s="5" t="s">
        <v>791</v>
      </c>
      <c r="L69" s="6" t="s">
        <v>782</v>
      </c>
      <c r="M69" s="6" t="s">
        <v>406</v>
      </c>
      <c r="N69" s="5"/>
    </row>
    <row r="70" customFormat="false" ht="27.75" hidden="false" customHeight="true" outlineLevel="0" collapsed="false">
      <c r="B70" s="5" t="s">
        <v>792</v>
      </c>
      <c r="C70" s="5" t="s">
        <v>793</v>
      </c>
      <c r="D70" s="5" t="s">
        <v>718</v>
      </c>
      <c r="E70" s="6" t="s">
        <v>794</v>
      </c>
      <c r="F70" s="6" t="s">
        <v>626</v>
      </c>
      <c r="G70" s="5" t="s">
        <v>627</v>
      </c>
      <c r="H70" s="5" t="s">
        <v>160</v>
      </c>
      <c r="I70" s="5" t="s">
        <v>780</v>
      </c>
      <c r="J70" s="5" t="s">
        <v>646</v>
      </c>
      <c r="K70" s="5" t="s">
        <v>795</v>
      </c>
      <c r="L70" s="6" t="s">
        <v>796</v>
      </c>
      <c r="M70" s="6" t="s">
        <v>396</v>
      </c>
      <c r="N70" s="6" t="s">
        <v>797</v>
      </c>
    </row>
    <row r="71" customFormat="false" ht="27.75" hidden="false" customHeight="true" outlineLevel="0" collapsed="false">
      <c r="B71" s="6" t="s">
        <v>798</v>
      </c>
      <c r="C71" s="5" t="s">
        <v>799</v>
      </c>
      <c r="D71" s="5" t="s">
        <v>718</v>
      </c>
      <c r="E71" s="6" t="s">
        <v>800</v>
      </c>
      <c r="F71" s="6" t="s">
        <v>626</v>
      </c>
      <c r="G71" s="5" t="s">
        <v>627</v>
      </c>
      <c r="H71" s="5" t="s">
        <v>160</v>
      </c>
      <c r="I71" s="5" t="s">
        <v>780</v>
      </c>
      <c r="J71" s="5" t="s">
        <v>652</v>
      </c>
      <c r="K71" s="6" t="s">
        <v>801</v>
      </c>
      <c r="L71" s="6" t="s">
        <v>796</v>
      </c>
      <c r="M71" s="6" t="s">
        <v>396</v>
      </c>
      <c r="N71" s="5"/>
    </row>
    <row r="72" customFormat="false" ht="27.75" hidden="false" customHeight="true" outlineLevel="0" collapsed="false">
      <c r="B72" s="5" t="s">
        <v>802</v>
      </c>
      <c r="C72" s="5" t="s">
        <v>803</v>
      </c>
      <c r="D72" s="5" t="s">
        <v>745</v>
      </c>
      <c r="E72" s="6" t="s">
        <v>804</v>
      </c>
      <c r="F72" s="6" t="s">
        <v>626</v>
      </c>
      <c r="G72" s="5" t="s">
        <v>627</v>
      </c>
      <c r="H72" s="5" t="s">
        <v>160</v>
      </c>
      <c r="I72" s="5" t="s">
        <v>780</v>
      </c>
      <c r="J72" s="5" t="s">
        <v>659</v>
      </c>
      <c r="K72" s="5" t="s">
        <v>805</v>
      </c>
      <c r="L72" s="6" t="s">
        <v>806</v>
      </c>
      <c r="M72" s="6" t="s">
        <v>406</v>
      </c>
      <c r="N72" s="6" t="s">
        <v>807</v>
      </c>
    </row>
    <row r="73" customFormat="false" ht="27.75" hidden="false" customHeight="true" outlineLevel="0" collapsed="false">
      <c r="B73" s="5" t="s">
        <v>808</v>
      </c>
      <c r="C73" s="5" t="s">
        <v>809</v>
      </c>
      <c r="D73" s="5" t="s">
        <v>745</v>
      </c>
      <c r="E73" s="6" t="s">
        <v>810</v>
      </c>
      <c r="F73" s="6" t="s">
        <v>626</v>
      </c>
      <c r="G73" s="5" t="s">
        <v>627</v>
      </c>
      <c r="H73" s="5" t="s">
        <v>160</v>
      </c>
      <c r="I73" s="5" t="s">
        <v>780</v>
      </c>
      <c r="J73" s="5" t="s">
        <v>665</v>
      </c>
      <c r="K73" s="5" t="s">
        <v>811</v>
      </c>
      <c r="L73" s="6" t="s">
        <v>812</v>
      </c>
      <c r="M73" s="5" t="s">
        <v>76</v>
      </c>
      <c r="N73" s="5"/>
    </row>
    <row r="74" customFormat="false" ht="27.75" hidden="false" customHeight="true" outlineLevel="0" collapsed="false">
      <c r="B74" s="5" t="s">
        <v>813</v>
      </c>
      <c r="C74" s="5" t="s">
        <v>814</v>
      </c>
      <c r="D74" s="5" t="s">
        <v>815</v>
      </c>
      <c r="E74" s="6" t="s">
        <v>816</v>
      </c>
      <c r="F74" s="6" t="s">
        <v>626</v>
      </c>
      <c r="G74" s="5" t="s">
        <v>627</v>
      </c>
      <c r="H74" s="5" t="s">
        <v>160</v>
      </c>
      <c r="I74" s="5" t="s">
        <v>780</v>
      </c>
      <c r="J74" s="5" t="s">
        <v>670</v>
      </c>
      <c r="K74" s="5" t="s">
        <v>817</v>
      </c>
      <c r="L74" s="5" t="s">
        <v>818</v>
      </c>
      <c r="M74" s="6" t="s">
        <v>406</v>
      </c>
      <c r="N74" s="5"/>
    </row>
    <row r="75" customFormat="false" ht="27.75" hidden="false" customHeight="true" outlineLevel="0" collapsed="false">
      <c r="B75" s="5" t="s">
        <v>819</v>
      </c>
      <c r="C75" s="5" t="s">
        <v>820</v>
      </c>
      <c r="D75" s="5" t="s">
        <v>815</v>
      </c>
      <c r="E75" s="6" t="s">
        <v>821</v>
      </c>
      <c r="F75" s="6" t="s">
        <v>626</v>
      </c>
      <c r="G75" s="5" t="s">
        <v>627</v>
      </c>
      <c r="H75" s="5" t="s">
        <v>160</v>
      </c>
      <c r="I75" s="5" t="s">
        <v>780</v>
      </c>
      <c r="J75" s="5" t="s">
        <v>822</v>
      </c>
      <c r="K75" s="5" t="s">
        <v>823</v>
      </c>
      <c r="L75" s="5" t="s">
        <v>818</v>
      </c>
      <c r="M75" s="6" t="s">
        <v>406</v>
      </c>
      <c r="N75" s="5"/>
    </row>
    <row r="76" customFormat="false" ht="27.75" hidden="false" customHeight="true" outlineLevel="0" collapsed="false">
      <c r="B76" s="5" t="s">
        <v>824</v>
      </c>
      <c r="C76" s="5" t="s">
        <v>825</v>
      </c>
      <c r="D76" s="5" t="s">
        <v>745</v>
      </c>
      <c r="E76" s="6" t="s">
        <v>826</v>
      </c>
      <c r="F76" s="6" t="s">
        <v>626</v>
      </c>
      <c r="G76" s="5" t="s">
        <v>627</v>
      </c>
      <c r="H76" s="5" t="s">
        <v>160</v>
      </c>
      <c r="I76" s="5" t="s">
        <v>780</v>
      </c>
      <c r="J76" s="5" t="s">
        <v>827</v>
      </c>
      <c r="K76" s="5" t="s">
        <v>828</v>
      </c>
      <c r="L76" s="6" t="s">
        <v>829</v>
      </c>
      <c r="M76" s="5" t="s">
        <v>76</v>
      </c>
      <c r="N76" s="5"/>
    </row>
    <row r="77" customFormat="false" ht="27.75" hidden="false" customHeight="true" outlineLevel="0" collapsed="false">
      <c r="B77" s="5" t="s">
        <v>830</v>
      </c>
      <c r="C77" s="5"/>
      <c r="D77" s="5" t="s">
        <v>690</v>
      </c>
      <c r="E77" s="5" t="s">
        <v>831</v>
      </c>
      <c r="F77" s="6" t="s">
        <v>626</v>
      </c>
      <c r="G77" s="5" t="s">
        <v>627</v>
      </c>
      <c r="H77" s="5" t="s">
        <v>160</v>
      </c>
      <c r="I77" s="5" t="s">
        <v>780</v>
      </c>
      <c r="J77" s="5" t="s">
        <v>832</v>
      </c>
      <c r="K77" s="5" t="s">
        <v>833</v>
      </c>
      <c r="L77" s="6" t="s">
        <v>834</v>
      </c>
      <c r="M77" s="5" t="s">
        <v>76</v>
      </c>
      <c r="N77" s="5"/>
    </row>
    <row r="78" customFormat="false" ht="27.75" hidden="false" customHeight="true" outlineLevel="0" collapsed="false">
      <c r="B78" s="6" t="s">
        <v>835</v>
      </c>
      <c r="C78" s="5"/>
      <c r="D78" s="5" t="s">
        <v>772</v>
      </c>
      <c r="E78" s="6" t="s">
        <v>836</v>
      </c>
      <c r="F78" s="6" t="s">
        <v>626</v>
      </c>
      <c r="G78" s="5" t="s">
        <v>627</v>
      </c>
      <c r="H78" s="5" t="s">
        <v>160</v>
      </c>
      <c r="I78" s="5" t="s">
        <v>780</v>
      </c>
      <c r="J78" s="5" t="s">
        <v>675</v>
      </c>
      <c r="K78" s="6" t="s">
        <v>837</v>
      </c>
      <c r="L78" s="6" t="s">
        <v>838</v>
      </c>
      <c r="M78" s="5" t="s">
        <v>76</v>
      </c>
      <c r="N78" s="5" t="s">
        <v>776</v>
      </c>
    </row>
    <row r="79" customFormat="false" ht="27.75" hidden="false" customHeight="true" outlineLevel="0" collapsed="false">
      <c r="B79" s="6" t="s">
        <v>839</v>
      </c>
      <c r="C79" s="5"/>
      <c r="D79" s="5" t="s">
        <v>840</v>
      </c>
      <c r="E79" s="6" t="s">
        <v>841</v>
      </c>
      <c r="F79" s="6" t="s">
        <v>626</v>
      </c>
      <c r="G79" s="5" t="s">
        <v>627</v>
      </c>
      <c r="H79" s="5" t="s">
        <v>160</v>
      </c>
      <c r="I79" s="5" t="s">
        <v>780</v>
      </c>
      <c r="J79" s="5" t="s">
        <v>675</v>
      </c>
      <c r="K79" s="5" t="s">
        <v>842</v>
      </c>
      <c r="L79" s="6" t="s">
        <v>843</v>
      </c>
      <c r="M79" s="5" t="s">
        <v>76</v>
      </c>
      <c r="N79" s="5" t="s">
        <v>776</v>
      </c>
    </row>
    <row r="80" customFormat="false" ht="27.75" hidden="false" customHeight="true" outlineLevel="0" collapsed="false">
      <c r="B80" s="6" t="s">
        <v>844</v>
      </c>
      <c r="C80" s="5"/>
      <c r="D80" s="5" t="s">
        <v>840</v>
      </c>
      <c r="E80" s="6" t="s">
        <v>845</v>
      </c>
      <c r="F80" s="6" t="s">
        <v>626</v>
      </c>
      <c r="G80" s="5" t="s">
        <v>627</v>
      </c>
      <c r="H80" s="5" t="s">
        <v>160</v>
      </c>
      <c r="I80" s="5" t="s">
        <v>780</v>
      </c>
      <c r="J80" s="5" t="s">
        <v>675</v>
      </c>
      <c r="K80" s="5" t="s">
        <v>846</v>
      </c>
      <c r="L80" s="6" t="s">
        <v>843</v>
      </c>
      <c r="M80" s="5" t="s">
        <v>76</v>
      </c>
      <c r="N80" s="5" t="s">
        <v>776</v>
      </c>
    </row>
    <row r="81" customFormat="false" ht="27.75" hidden="false" customHeight="true" outlineLevel="0" collapsed="false">
      <c r="B81" s="5" t="s">
        <v>847</v>
      </c>
      <c r="C81" s="5" t="s">
        <v>848</v>
      </c>
      <c r="D81" s="5" t="s">
        <v>849</v>
      </c>
      <c r="E81" s="6" t="s">
        <v>850</v>
      </c>
      <c r="F81" s="5" t="s">
        <v>851</v>
      </c>
      <c r="G81" s="5" t="s">
        <v>852</v>
      </c>
      <c r="H81" s="5" t="s">
        <v>853</v>
      </c>
      <c r="I81" s="5" t="s">
        <v>854</v>
      </c>
      <c r="J81" s="5" t="s">
        <v>855</v>
      </c>
      <c r="K81" s="5" t="s">
        <v>856</v>
      </c>
      <c r="L81" s="6" t="s">
        <v>857</v>
      </c>
      <c r="M81" s="6" t="s">
        <v>406</v>
      </c>
      <c r="N81" s="6" t="s">
        <v>858</v>
      </c>
    </row>
    <row r="82" customFormat="false" ht="27.75" hidden="false" customHeight="true" outlineLevel="0" collapsed="false">
      <c r="B82" s="5" t="s">
        <v>859</v>
      </c>
      <c r="C82" s="5" t="s">
        <v>860</v>
      </c>
      <c r="D82" s="5" t="s">
        <v>849</v>
      </c>
      <c r="E82" s="6" t="s">
        <v>861</v>
      </c>
      <c r="F82" s="5" t="s">
        <v>862</v>
      </c>
      <c r="G82" s="5" t="s">
        <v>852</v>
      </c>
      <c r="H82" s="5" t="s">
        <v>853</v>
      </c>
      <c r="I82" s="5" t="s">
        <v>854</v>
      </c>
      <c r="J82" s="5" t="s">
        <v>863</v>
      </c>
      <c r="K82" s="5" t="s">
        <v>864</v>
      </c>
      <c r="L82" s="6" t="s">
        <v>865</v>
      </c>
      <c r="M82" s="6" t="s">
        <v>406</v>
      </c>
      <c r="N82" s="6" t="s">
        <v>866</v>
      </c>
    </row>
    <row r="83" customFormat="false" ht="27.75" hidden="false" customHeight="true" outlineLevel="0" collapsed="false">
      <c r="B83" s="6" t="s">
        <v>867</v>
      </c>
      <c r="C83" s="5" t="s">
        <v>868</v>
      </c>
      <c r="D83" s="5" t="s">
        <v>849</v>
      </c>
      <c r="E83" s="6" t="s">
        <v>869</v>
      </c>
      <c r="F83" s="5" t="s">
        <v>870</v>
      </c>
      <c r="G83" s="5" t="s">
        <v>852</v>
      </c>
      <c r="H83" s="5" t="s">
        <v>853</v>
      </c>
      <c r="I83" s="5" t="s">
        <v>871</v>
      </c>
      <c r="J83" s="5" t="s">
        <v>868</v>
      </c>
      <c r="K83" s="5"/>
      <c r="L83" s="6" t="s">
        <v>872</v>
      </c>
      <c r="M83" s="6" t="s">
        <v>396</v>
      </c>
      <c r="N83" s="6" t="s">
        <v>873</v>
      </c>
    </row>
    <row r="84" customFormat="false" ht="27.75" hidden="false" customHeight="true" outlineLevel="0" collapsed="false">
      <c r="B84" s="6" t="s">
        <v>874</v>
      </c>
      <c r="C84" s="5" t="s">
        <v>875</v>
      </c>
      <c r="D84" s="5" t="s">
        <v>849</v>
      </c>
      <c r="E84" s="6" t="s">
        <v>876</v>
      </c>
      <c r="F84" s="5" t="s">
        <v>870</v>
      </c>
      <c r="G84" s="5" t="s">
        <v>852</v>
      </c>
      <c r="H84" s="5" t="s">
        <v>853</v>
      </c>
      <c r="I84" s="5" t="s">
        <v>871</v>
      </c>
      <c r="J84" s="5" t="s">
        <v>875</v>
      </c>
      <c r="K84" s="5"/>
      <c r="L84" s="6" t="s">
        <v>872</v>
      </c>
      <c r="M84" s="6" t="s">
        <v>396</v>
      </c>
      <c r="N84" s="6" t="s">
        <v>877</v>
      </c>
    </row>
    <row r="85" customFormat="false" ht="27.75" hidden="false" customHeight="true" outlineLevel="0" collapsed="false">
      <c r="B85" s="6" t="s">
        <v>878</v>
      </c>
      <c r="C85" s="5" t="s">
        <v>879</v>
      </c>
      <c r="D85" s="5" t="s">
        <v>849</v>
      </c>
      <c r="E85" s="6" t="s">
        <v>880</v>
      </c>
      <c r="F85" s="5" t="s">
        <v>199</v>
      </c>
      <c r="G85" s="5" t="s">
        <v>881</v>
      </c>
      <c r="H85" s="5" t="s">
        <v>853</v>
      </c>
      <c r="I85" s="5" t="s">
        <v>871</v>
      </c>
      <c r="J85" s="5" t="s">
        <v>879</v>
      </c>
      <c r="K85" s="5"/>
      <c r="L85" s="6" t="s">
        <v>882</v>
      </c>
      <c r="M85" s="6" t="s">
        <v>396</v>
      </c>
      <c r="N85" s="6" t="s">
        <v>883</v>
      </c>
    </row>
    <row r="86" customFormat="false" ht="27.75" hidden="false" customHeight="true" outlineLevel="0" collapsed="false">
      <c r="B86" s="6" t="s">
        <v>884</v>
      </c>
      <c r="C86" s="5" t="s">
        <v>885</v>
      </c>
      <c r="D86" s="5" t="s">
        <v>886</v>
      </c>
      <c r="E86" s="6" t="s">
        <v>887</v>
      </c>
      <c r="F86" s="5" t="s">
        <v>888</v>
      </c>
      <c r="G86" s="5" t="s">
        <v>852</v>
      </c>
      <c r="H86" s="5" t="s">
        <v>853</v>
      </c>
      <c r="I86" s="5" t="s">
        <v>871</v>
      </c>
      <c r="J86" s="5" t="s">
        <v>885</v>
      </c>
      <c r="K86" s="5"/>
      <c r="L86" s="5" t="s">
        <v>889</v>
      </c>
      <c r="M86" s="6" t="s">
        <v>406</v>
      </c>
      <c r="N86" s="6" t="s">
        <v>890</v>
      </c>
    </row>
    <row r="87" customFormat="false" ht="27.75" hidden="false" customHeight="true" outlineLevel="0" collapsed="false">
      <c r="B87" s="5" t="s">
        <v>891</v>
      </c>
      <c r="C87" s="5" t="s">
        <v>892</v>
      </c>
      <c r="D87" s="5" t="s">
        <v>849</v>
      </c>
      <c r="E87" s="6" t="s">
        <v>893</v>
      </c>
      <c r="F87" s="5" t="s">
        <v>894</v>
      </c>
      <c r="G87" s="5" t="s">
        <v>852</v>
      </c>
      <c r="H87" s="5" t="s">
        <v>895</v>
      </c>
      <c r="I87" s="5" t="s">
        <v>871</v>
      </c>
      <c r="J87" s="5" t="s">
        <v>892</v>
      </c>
      <c r="K87" s="5"/>
      <c r="L87" s="6" t="s">
        <v>896</v>
      </c>
      <c r="M87" s="6" t="s">
        <v>406</v>
      </c>
      <c r="N87" s="6" t="s">
        <v>897</v>
      </c>
    </row>
    <row r="88" customFormat="false" ht="27.75" hidden="false" customHeight="true" outlineLevel="0" collapsed="false">
      <c r="B88" s="5" t="s">
        <v>898</v>
      </c>
      <c r="C88" s="5" t="s">
        <v>899</v>
      </c>
      <c r="D88" s="5" t="s">
        <v>78</v>
      </c>
      <c r="E88" s="6" t="s">
        <v>900</v>
      </c>
      <c r="F88" s="5" t="s">
        <v>901</v>
      </c>
      <c r="G88" s="5" t="s">
        <v>901</v>
      </c>
      <c r="H88" s="5" t="s">
        <v>902</v>
      </c>
      <c r="I88" s="5" t="s">
        <v>903</v>
      </c>
      <c r="J88" s="5" t="s">
        <v>901</v>
      </c>
      <c r="K88" s="5" t="s">
        <v>904</v>
      </c>
      <c r="L88" s="6" t="s">
        <v>905</v>
      </c>
      <c r="M88" s="5" t="s">
        <v>76</v>
      </c>
      <c r="N88" s="6" t="s">
        <v>906</v>
      </c>
    </row>
  </sheetData>
  <autoFilter ref="B5:N88"/>
  <mergeCells count="1">
    <mergeCell ref="B2:N2"/>
  </mergeCells>
  <conditionalFormatting sqref="B6:Z88">
    <cfRule type="expression" priority="2" aboveAverage="0" equalAverage="0" bottom="0" percent="0" rank="0" text="" dxfId="7">
      <formula>$M6="Confirmed from notes"</formula>
    </cfRule>
    <cfRule type="expression" priority="3" aboveAverage="0" equalAverage="0" bottom="0" percent="0" rank="0" text="" dxfId="8">
      <formula>$M6="Inferred / likely"</formula>
    </cfRule>
    <cfRule type="expression" priority="4" aboveAverage="0" equalAverage="0" bottom="0" percent="0" rank="0" text="" dxfId="8">
      <formula>$M6="Verify in cabinet"</formula>
    </cfRule>
    <cfRule type="expression" priority="5" aboveAverage="0" equalAverage="0" bottom="0" percent="0" rank="0" text="" dxfId="8">
      <formula>$M6="Measure before buying"</formula>
    </cfRule>
    <cfRule type="expression" priority="6" aboveAverage="0" equalAverage="0" bottom="0" percent="0" rank="0" text="" dxfId="9">
      <formula>$M6="Optional"</formula>
    </cfRule>
  </conditionalFormatting>
  <dataValidations count="3">
    <dataValidation allowBlank="true" errorStyle="stop" operator="between" showDropDown="false" showErrorMessage="false" showInputMessage="false" sqref="G6:G88" type="list">
      <formula1>"IN,OUT,ANALOG OUT,ENCODER IN,POWER,LOGIC,MECHANICAL,USB,TBD"</formula1>
      <formula2>0</formula2>
    </dataValidation>
    <dataValidation allowBlank="true" errorStyle="stop" operator="between" showDropDown="false" showErrorMessage="false" showInputMessage="false" sqref="H6:H88" type="list">
      <formula1>"6i25,7i77,7i84,7i85/7i85S,LinuxCNC USB,Existing Mazak,HR-11F-24,DIN rail / panel,TBD"</formula1>
      <formula2>0</formula2>
    </dataValidation>
    <dataValidation allowBlank="true" errorStyle="stop" operator="between" showDropDown="false" showErrorMessage="false" showInputMessage="false" sqref="M6:M88" type="list">
      <formula1>"Confirmed from notes,Inferred / likely,Verify in cabinet,Measure before buying,Optional,TBD"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25.51"/>
    <col collapsed="false" customWidth="true" hidden="false" outlineLevel="0" max="4" min="4" style="1" width="17.4"/>
    <col collapsed="false" customWidth="true" hidden="false" outlineLevel="0" max="6" min="5" style="1" width="40"/>
    <col collapsed="false" customWidth="true" hidden="false" outlineLevel="0" max="7" min="7" style="1" width="12"/>
    <col collapsed="false" customWidth="true" hidden="false" outlineLevel="0" max="8" min="8" style="1" width="11.1"/>
    <col collapsed="false" customWidth="true" hidden="false" outlineLevel="0" max="9" min="9" style="1" width="12"/>
    <col collapsed="false" customWidth="true" hidden="false" outlineLevel="0" max="11" min="10" style="1" width="19.2"/>
    <col collapsed="false" customWidth="true" hidden="false" outlineLevel="0" max="12" min="12" style="1" width="40"/>
    <col collapsed="false" customWidth="true" hidden="false" outlineLevel="0" max="13" min="13" style="1" width="21"/>
    <col collapsed="false" customWidth="true" hidden="false" outlineLevel="0" max="14" min="14" style="1" width="40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907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7.75" hidden="false" customHeight="true" outlineLevel="0" collapsed="false">
      <c r="B3" s="3" t="s">
        <v>908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417</v>
      </c>
      <c r="C5" s="4" t="s">
        <v>418</v>
      </c>
      <c r="D5" s="4" t="s">
        <v>419</v>
      </c>
      <c r="E5" s="4" t="s">
        <v>420</v>
      </c>
      <c r="F5" s="4" t="s">
        <v>421</v>
      </c>
      <c r="G5" s="4" t="s">
        <v>422</v>
      </c>
      <c r="H5" s="4" t="s">
        <v>423</v>
      </c>
      <c r="I5" s="4" t="s">
        <v>424</v>
      </c>
      <c r="J5" s="4" t="s">
        <v>425</v>
      </c>
      <c r="K5" s="4" t="s">
        <v>426</v>
      </c>
      <c r="L5" s="4" t="s">
        <v>427</v>
      </c>
      <c r="M5" s="4" t="s">
        <v>44</v>
      </c>
      <c r="N5" s="4" t="s">
        <v>45</v>
      </c>
    </row>
    <row r="6" customFormat="false" ht="27.75" hidden="false" customHeight="true" outlineLevel="0" collapsed="false">
      <c r="B6" s="5" t="s">
        <v>428</v>
      </c>
      <c r="C6" s="5"/>
      <c r="D6" s="5" t="s">
        <v>429</v>
      </c>
      <c r="E6" s="6" t="s">
        <v>430</v>
      </c>
      <c r="F6" s="5" t="s">
        <v>431</v>
      </c>
      <c r="G6" s="5" t="s">
        <v>432</v>
      </c>
      <c r="H6" s="5" t="s">
        <v>131</v>
      </c>
      <c r="I6" s="5" t="s">
        <v>433</v>
      </c>
      <c r="J6" s="5" t="s">
        <v>434</v>
      </c>
      <c r="K6" s="5" t="s">
        <v>435</v>
      </c>
      <c r="L6" s="6" t="s">
        <v>436</v>
      </c>
      <c r="M6" s="6" t="s">
        <v>371</v>
      </c>
      <c r="N6" s="6" t="s">
        <v>437</v>
      </c>
    </row>
    <row r="7" customFormat="false" ht="27.75" hidden="false" customHeight="true" outlineLevel="0" collapsed="false">
      <c r="B7" s="5" t="s">
        <v>438</v>
      </c>
      <c r="C7" s="5"/>
      <c r="D7" s="5" t="s">
        <v>429</v>
      </c>
      <c r="E7" s="6" t="s">
        <v>439</v>
      </c>
      <c r="F7" s="5" t="s">
        <v>431</v>
      </c>
      <c r="G7" s="5" t="s">
        <v>432</v>
      </c>
      <c r="H7" s="5" t="s">
        <v>131</v>
      </c>
      <c r="I7" s="5" t="s">
        <v>433</v>
      </c>
      <c r="J7" s="5" t="s">
        <v>440</v>
      </c>
      <c r="K7" s="5" t="s">
        <v>441</v>
      </c>
      <c r="L7" s="6" t="s">
        <v>442</v>
      </c>
      <c r="M7" s="6" t="s">
        <v>371</v>
      </c>
      <c r="N7" s="5"/>
    </row>
    <row r="8" customFormat="false" ht="27.75" hidden="false" customHeight="true" outlineLevel="0" collapsed="false">
      <c r="B8" s="5" t="s">
        <v>443</v>
      </c>
      <c r="C8" s="5"/>
      <c r="D8" s="5" t="s">
        <v>429</v>
      </c>
      <c r="E8" s="6" t="s">
        <v>444</v>
      </c>
      <c r="F8" s="5" t="s">
        <v>431</v>
      </c>
      <c r="G8" s="5" t="s">
        <v>432</v>
      </c>
      <c r="H8" s="5" t="s">
        <v>131</v>
      </c>
      <c r="I8" s="5" t="s">
        <v>433</v>
      </c>
      <c r="J8" s="5" t="s">
        <v>445</v>
      </c>
      <c r="K8" s="5" t="s">
        <v>446</v>
      </c>
      <c r="L8" s="6" t="s">
        <v>447</v>
      </c>
      <c r="M8" s="6" t="s">
        <v>371</v>
      </c>
      <c r="N8" s="5"/>
    </row>
    <row r="9" customFormat="false" ht="27.75" hidden="false" customHeight="true" outlineLevel="0" collapsed="false">
      <c r="B9" s="6" t="s">
        <v>448</v>
      </c>
      <c r="C9" s="5"/>
      <c r="D9" s="5" t="s">
        <v>388</v>
      </c>
      <c r="E9" s="6" t="s">
        <v>449</v>
      </c>
      <c r="F9" s="6" t="s">
        <v>450</v>
      </c>
      <c r="G9" s="5" t="s">
        <v>432</v>
      </c>
      <c r="H9" s="5" t="s">
        <v>131</v>
      </c>
      <c r="I9" s="5" t="s">
        <v>433</v>
      </c>
      <c r="J9" s="5" t="s">
        <v>451</v>
      </c>
      <c r="K9" s="6" t="s">
        <v>452</v>
      </c>
      <c r="L9" s="6" t="s">
        <v>453</v>
      </c>
      <c r="M9" s="6" t="s">
        <v>396</v>
      </c>
      <c r="N9" s="6" t="s">
        <v>454</v>
      </c>
    </row>
    <row r="10" customFormat="false" ht="27.75" hidden="false" customHeight="true" outlineLevel="0" collapsed="false">
      <c r="B10" s="5" t="s">
        <v>455</v>
      </c>
      <c r="C10" s="5"/>
      <c r="D10" s="5" t="s">
        <v>429</v>
      </c>
      <c r="E10" s="6" t="s">
        <v>456</v>
      </c>
      <c r="F10" s="6" t="s">
        <v>457</v>
      </c>
      <c r="G10" s="5" t="s">
        <v>458</v>
      </c>
      <c r="H10" s="5" t="s">
        <v>131</v>
      </c>
      <c r="I10" s="5" t="s">
        <v>459</v>
      </c>
      <c r="J10" s="5" t="s">
        <v>460</v>
      </c>
      <c r="K10" s="5" t="s">
        <v>461</v>
      </c>
      <c r="L10" s="6" t="s">
        <v>462</v>
      </c>
      <c r="M10" s="6" t="s">
        <v>396</v>
      </c>
      <c r="N10" s="6" t="s">
        <v>463</v>
      </c>
    </row>
    <row r="11" customFormat="false" ht="27.75" hidden="false" customHeight="true" outlineLevel="0" collapsed="false">
      <c r="B11" s="5" t="s">
        <v>464</v>
      </c>
      <c r="C11" s="5"/>
      <c r="D11" s="5" t="s">
        <v>429</v>
      </c>
      <c r="E11" s="6" t="s">
        <v>465</v>
      </c>
      <c r="F11" s="6" t="s">
        <v>457</v>
      </c>
      <c r="G11" s="5" t="s">
        <v>458</v>
      </c>
      <c r="H11" s="5" t="s">
        <v>131</v>
      </c>
      <c r="I11" s="5" t="s">
        <v>459</v>
      </c>
      <c r="J11" s="5" t="s">
        <v>466</v>
      </c>
      <c r="K11" s="5" t="s">
        <v>467</v>
      </c>
      <c r="L11" s="6" t="s">
        <v>468</v>
      </c>
      <c r="M11" s="6" t="s">
        <v>396</v>
      </c>
      <c r="N11" s="5"/>
    </row>
    <row r="12" customFormat="false" ht="27.75" hidden="false" customHeight="true" outlineLevel="0" collapsed="false">
      <c r="B12" s="5" t="s">
        <v>469</v>
      </c>
      <c r="C12" s="5"/>
      <c r="D12" s="5" t="s">
        <v>429</v>
      </c>
      <c r="E12" s="6" t="s">
        <v>470</v>
      </c>
      <c r="F12" s="6" t="s">
        <v>457</v>
      </c>
      <c r="G12" s="5" t="s">
        <v>458</v>
      </c>
      <c r="H12" s="5" t="s">
        <v>131</v>
      </c>
      <c r="I12" s="5" t="s">
        <v>459</v>
      </c>
      <c r="J12" s="5" t="s">
        <v>471</v>
      </c>
      <c r="K12" s="5" t="s">
        <v>472</v>
      </c>
      <c r="L12" s="6" t="s">
        <v>473</v>
      </c>
      <c r="M12" s="6" t="s">
        <v>396</v>
      </c>
      <c r="N12" s="5"/>
    </row>
    <row r="13" customFormat="false" ht="27.75" hidden="false" customHeight="true" outlineLevel="0" collapsed="false">
      <c r="B13" s="6" t="s">
        <v>474</v>
      </c>
      <c r="C13" s="5"/>
      <c r="D13" s="5" t="s">
        <v>388</v>
      </c>
      <c r="E13" s="6" t="s">
        <v>475</v>
      </c>
      <c r="F13" s="6" t="s">
        <v>476</v>
      </c>
      <c r="G13" s="5" t="s">
        <v>458</v>
      </c>
      <c r="H13" s="5" t="s">
        <v>131</v>
      </c>
      <c r="I13" s="5" t="s">
        <v>459</v>
      </c>
      <c r="J13" s="5" t="s">
        <v>477</v>
      </c>
      <c r="K13" s="5" t="s">
        <v>478</v>
      </c>
      <c r="L13" s="6" t="s">
        <v>479</v>
      </c>
      <c r="M13" s="6" t="s">
        <v>396</v>
      </c>
      <c r="N13" s="6" t="s">
        <v>480</v>
      </c>
    </row>
    <row r="14" customFormat="false" ht="27.75" hidden="false" customHeight="true" outlineLevel="0" collapsed="false">
      <c r="B14" s="5" t="s">
        <v>481</v>
      </c>
      <c r="C14" s="5" t="s">
        <v>482</v>
      </c>
      <c r="D14" s="5" t="s">
        <v>483</v>
      </c>
      <c r="E14" s="6" t="s">
        <v>484</v>
      </c>
      <c r="F14" s="6" t="s">
        <v>485</v>
      </c>
      <c r="G14" s="5" t="s">
        <v>486</v>
      </c>
      <c r="H14" s="5" t="s">
        <v>131</v>
      </c>
      <c r="I14" s="5" t="s">
        <v>487</v>
      </c>
      <c r="J14" s="5" t="s">
        <v>488</v>
      </c>
      <c r="K14" s="5" t="s">
        <v>489</v>
      </c>
      <c r="L14" s="6" t="s">
        <v>490</v>
      </c>
      <c r="M14" s="6" t="s">
        <v>406</v>
      </c>
      <c r="N14" s="6" t="s">
        <v>491</v>
      </c>
    </row>
    <row r="15" customFormat="false" ht="27.75" hidden="false" customHeight="true" outlineLevel="0" collapsed="false">
      <c r="B15" s="5" t="s">
        <v>492</v>
      </c>
      <c r="C15" s="5" t="s">
        <v>493</v>
      </c>
      <c r="D15" s="5" t="s">
        <v>483</v>
      </c>
      <c r="E15" s="6" t="s">
        <v>494</v>
      </c>
      <c r="F15" s="6" t="s">
        <v>495</v>
      </c>
      <c r="G15" s="5" t="s">
        <v>486</v>
      </c>
      <c r="H15" s="5" t="s">
        <v>131</v>
      </c>
      <c r="I15" s="5" t="s">
        <v>487</v>
      </c>
      <c r="J15" s="5" t="s">
        <v>496</v>
      </c>
      <c r="K15" s="5" t="s">
        <v>497</v>
      </c>
      <c r="L15" s="6" t="s">
        <v>498</v>
      </c>
      <c r="M15" s="6" t="s">
        <v>396</v>
      </c>
      <c r="N15" s="6" t="s">
        <v>499</v>
      </c>
    </row>
    <row r="16" customFormat="false" ht="27.75" hidden="false" customHeight="true" outlineLevel="0" collapsed="false">
      <c r="B16" s="5" t="s">
        <v>500</v>
      </c>
      <c r="C16" s="5" t="s">
        <v>501</v>
      </c>
      <c r="D16" s="5" t="s">
        <v>483</v>
      </c>
      <c r="E16" s="6" t="s">
        <v>502</v>
      </c>
      <c r="F16" s="6" t="s">
        <v>495</v>
      </c>
      <c r="G16" s="5" t="s">
        <v>486</v>
      </c>
      <c r="H16" s="5" t="s">
        <v>131</v>
      </c>
      <c r="I16" s="5" t="s">
        <v>487</v>
      </c>
      <c r="J16" s="5" t="s">
        <v>503</v>
      </c>
      <c r="K16" s="5" t="s">
        <v>504</v>
      </c>
      <c r="L16" s="6" t="s">
        <v>498</v>
      </c>
      <c r="M16" s="6" t="s">
        <v>396</v>
      </c>
      <c r="N16" s="6" t="s">
        <v>499</v>
      </c>
    </row>
    <row r="17" customFormat="false" ht="27.75" hidden="false" customHeight="true" outlineLevel="0" collapsed="false">
      <c r="B17" s="5" t="s">
        <v>505</v>
      </c>
      <c r="C17" s="5" t="s">
        <v>506</v>
      </c>
      <c r="D17" s="5" t="s">
        <v>483</v>
      </c>
      <c r="E17" s="6" t="s">
        <v>507</v>
      </c>
      <c r="F17" s="5" t="s">
        <v>508</v>
      </c>
      <c r="G17" s="5" t="s">
        <v>486</v>
      </c>
      <c r="H17" s="5" t="s">
        <v>131</v>
      </c>
      <c r="I17" s="5" t="s">
        <v>487</v>
      </c>
      <c r="J17" s="5" t="s">
        <v>509</v>
      </c>
      <c r="K17" s="5" t="s">
        <v>510</v>
      </c>
      <c r="L17" s="6" t="s">
        <v>511</v>
      </c>
      <c r="M17" s="6" t="s">
        <v>406</v>
      </c>
      <c r="N17" s="5"/>
    </row>
    <row r="18" customFormat="false" ht="27.75" hidden="false" customHeight="true" outlineLevel="0" collapsed="false">
      <c r="B18" s="5" t="s">
        <v>512</v>
      </c>
      <c r="C18" s="5" t="s">
        <v>513</v>
      </c>
      <c r="D18" s="5" t="s">
        <v>483</v>
      </c>
      <c r="E18" s="6" t="s">
        <v>514</v>
      </c>
      <c r="F18" s="5" t="s">
        <v>515</v>
      </c>
      <c r="G18" s="5" t="s">
        <v>486</v>
      </c>
      <c r="H18" s="5" t="s">
        <v>131</v>
      </c>
      <c r="I18" s="5" t="s">
        <v>487</v>
      </c>
      <c r="J18" s="5" t="s">
        <v>516</v>
      </c>
      <c r="K18" s="5" t="s">
        <v>517</v>
      </c>
      <c r="L18" s="6" t="s">
        <v>498</v>
      </c>
      <c r="M18" s="6" t="s">
        <v>396</v>
      </c>
      <c r="N18" s="5"/>
    </row>
    <row r="19" customFormat="false" ht="27.75" hidden="false" customHeight="true" outlineLevel="0" collapsed="false">
      <c r="B19" s="5" t="s">
        <v>518</v>
      </c>
      <c r="C19" s="5" t="s">
        <v>519</v>
      </c>
      <c r="D19" s="5" t="s">
        <v>483</v>
      </c>
      <c r="E19" s="6" t="s">
        <v>520</v>
      </c>
      <c r="F19" s="5" t="s">
        <v>515</v>
      </c>
      <c r="G19" s="5" t="s">
        <v>486</v>
      </c>
      <c r="H19" s="5" t="s">
        <v>131</v>
      </c>
      <c r="I19" s="5" t="s">
        <v>487</v>
      </c>
      <c r="J19" s="5" t="s">
        <v>521</v>
      </c>
      <c r="K19" s="5" t="s">
        <v>522</v>
      </c>
      <c r="L19" s="6" t="s">
        <v>498</v>
      </c>
      <c r="M19" s="6" t="s">
        <v>396</v>
      </c>
      <c r="N19" s="5"/>
    </row>
    <row r="20" customFormat="false" ht="27.75" hidden="false" customHeight="true" outlineLevel="0" collapsed="false">
      <c r="B20" s="5" t="s">
        <v>523</v>
      </c>
      <c r="C20" s="5" t="s">
        <v>524</v>
      </c>
      <c r="D20" s="5" t="s">
        <v>483</v>
      </c>
      <c r="E20" s="6" t="s">
        <v>525</v>
      </c>
      <c r="F20" s="5" t="s">
        <v>508</v>
      </c>
      <c r="G20" s="5" t="s">
        <v>486</v>
      </c>
      <c r="H20" s="5" t="s">
        <v>131</v>
      </c>
      <c r="I20" s="5" t="s">
        <v>487</v>
      </c>
      <c r="J20" s="5" t="s">
        <v>526</v>
      </c>
      <c r="K20" s="5" t="s">
        <v>527</v>
      </c>
      <c r="L20" s="6" t="s">
        <v>511</v>
      </c>
      <c r="M20" s="6" t="s">
        <v>406</v>
      </c>
      <c r="N20" s="5"/>
    </row>
    <row r="21" customFormat="false" ht="27.75" hidden="false" customHeight="true" outlineLevel="0" collapsed="false">
      <c r="B21" s="5" t="s">
        <v>528</v>
      </c>
      <c r="C21" s="5" t="s">
        <v>529</v>
      </c>
      <c r="D21" s="5" t="s">
        <v>483</v>
      </c>
      <c r="E21" s="6" t="s">
        <v>530</v>
      </c>
      <c r="F21" s="5" t="s">
        <v>515</v>
      </c>
      <c r="G21" s="5" t="s">
        <v>486</v>
      </c>
      <c r="H21" s="5" t="s">
        <v>131</v>
      </c>
      <c r="I21" s="5" t="s">
        <v>487</v>
      </c>
      <c r="J21" s="5" t="s">
        <v>531</v>
      </c>
      <c r="K21" s="5" t="s">
        <v>532</v>
      </c>
      <c r="L21" s="6" t="s">
        <v>498</v>
      </c>
      <c r="M21" s="6" t="s">
        <v>396</v>
      </c>
      <c r="N21" s="5"/>
    </row>
    <row r="22" customFormat="false" ht="27.75" hidden="false" customHeight="true" outlineLevel="0" collapsed="false">
      <c r="B22" s="5" t="s">
        <v>533</v>
      </c>
      <c r="C22" s="5" t="s">
        <v>534</v>
      </c>
      <c r="D22" s="5" t="s">
        <v>483</v>
      </c>
      <c r="E22" s="6" t="s">
        <v>535</v>
      </c>
      <c r="F22" s="5" t="s">
        <v>515</v>
      </c>
      <c r="G22" s="5" t="s">
        <v>486</v>
      </c>
      <c r="H22" s="5" t="s">
        <v>131</v>
      </c>
      <c r="I22" s="5" t="s">
        <v>487</v>
      </c>
      <c r="J22" s="5" t="s">
        <v>536</v>
      </c>
      <c r="K22" s="5" t="s">
        <v>537</v>
      </c>
      <c r="L22" s="6" t="s">
        <v>498</v>
      </c>
      <c r="M22" s="6" t="s">
        <v>396</v>
      </c>
      <c r="N22" s="5"/>
    </row>
    <row r="23" customFormat="false" ht="27.75" hidden="false" customHeight="true" outlineLevel="0" collapsed="false">
      <c r="B23" s="5" t="s">
        <v>538</v>
      </c>
      <c r="C23" s="5"/>
      <c r="D23" s="5" t="s">
        <v>539</v>
      </c>
      <c r="E23" s="6" t="s">
        <v>540</v>
      </c>
      <c r="F23" s="6" t="s">
        <v>541</v>
      </c>
      <c r="G23" s="5" t="s">
        <v>486</v>
      </c>
      <c r="H23" s="5" t="s">
        <v>131</v>
      </c>
      <c r="I23" s="5" t="s">
        <v>487</v>
      </c>
      <c r="J23" s="5" t="s">
        <v>542</v>
      </c>
      <c r="K23" s="5" t="s">
        <v>543</v>
      </c>
      <c r="L23" s="6" t="s">
        <v>544</v>
      </c>
      <c r="M23" s="6" t="s">
        <v>396</v>
      </c>
      <c r="N23" s="6" t="s">
        <v>545</v>
      </c>
    </row>
    <row r="24" customFormat="false" ht="27.75" hidden="false" customHeight="true" outlineLevel="0" collapsed="false">
      <c r="B24" s="5" t="s">
        <v>546</v>
      </c>
      <c r="C24" s="5"/>
      <c r="D24" s="5" t="s">
        <v>539</v>
      </c>
      <c r="E24" s="6" t="s">
        <v>547</v>
      </c>
      <c r="F24" s="6" t="s">
        <v>541</v>
      </c>
      <c r="G24" s="5" t="s">
        <v>486</v>
      </c>
      <c r="H24" s="5" t="s">
        <v>131</v>
      </c>
      <c r="I24" s="5" t="s">
        <v>487</v>
      </c>
      <c r="J24" s="5" t="s">
        <v>548</v>
      </c>
      <c r="K24" s="5" t="s">
        <v>549</v>
      </c>
      <c r="L24" s="6" t="s">
        <v>550</v>
      </c>
      <c r="M24" s="6" t="s">
        <v>396</v>
      </c>
      <c r="N24" s="5"/>
    </row>
    <row r="25" customFormat="false" ht="27.75" hidden="false" customHeight="true" outlineLevel="0" collapsed="false">
      <c r="B25" s="5" t="s">
        <v>551</v>
      </c>
      <c r="C25" s="5"/>
      <c r="D25" s="5" t="s">
        <v>539</v>
      </c>
      <c r="E25" s="6" t="s">
        <v>552</v>
      </c>
      <c r="F25" s="6" t="s">
        <v>541</v>
      </c>
      <c r="G25" s="5" t="s">
        <v>486</v>
      </c>
      <c r="H25" s="5" t="s">
        <v>131</v>
      </c>
      <c r="I25" s="5" t="s">
        <v>487</v>
      </c>
      <c r="J25" s="5" t="s">
        <v>553</v>
      </c>
      <c r="K25" s="5" t="s">
        <v>554</v>
      </c>
      <c r="L25" s="6" t="s">
        <v>555</v>
      </c>
      <c r="M25" s="6" t="s">
        <v>396</v>
      </c>
      <c r="N25" s="5"/>
    </row>
    <row r="26" customFormat="false" ht="27.75" hidden="false" customHeight="true" outlineLevel="0" collapsed="false">
      <c r="B26" s="5" t="s">
        <v>556</v>
      </c>
      <c r="C26" s="5"/>
      <c r="D26" s="5" t="s">
        <v>557</v>
      </c>
      <c r="E26" s="6" t="s">
        <v>558</v>
      </c>
      <c r="F26" s="6" t="s">
        <v>541</v>
      </c>
      <c r="G26" s="5" t="s">
        <v>486</v>
      </c>
      <c r="H26" s="5" t="s">
        <v>131</v>
      </c>
      <c r="I26" s="5" t="s">
        <v>487</v>
      </c>
      <c r="J26" s="5" t="s">
        <v>559</v>
      </c>
      <c r="K26" s="5" t="s">
        <v>560</v>
      </c>
      <c r="L26" s="6" t="s">
        <v>561</v>
      </c>
      <c r="M26" s="6" t="s">
        <v>396</v>
      </c>
      <c r="N26" s="5"/>
    </row>
    <row r="27" customFormat="false" ht="27.75" hidden="false" customHeight="true" outlineLevel="0" collapsed="false">
      <c r="B27" s="5" t="s">
        <v>562</v>
      </c>
      <c r="C27" s="5"/>
      <c r="D27" s="5" t="s">
        <v>563</v>
      </c>
      <c r="E27" s="6" t="s">
        <v>564</v>
      </c>
      <c r="F27" s="6" t="s">
        <v>565</v>
      </c>
      <c r="G27" s="5" t="s">
        <v>486</v>
      </c>
      <c r="H27" s="5" t="s">
        <v>131</v>
      </c>
      <c r="I27" s="5" t="s">
        <v>487</v>
      </c>
      <c r="J27" s="5" t="s">
        <v>566</v>
      </c>
      <c r="K27" s="5" t="s">
        <v>567</v>
      </c>
      <c r="L27" s="6" t="s">
        <v>568</v>
      </c>
      <c r="M27" s="6" t="s">
        <v>396</v>
      </c>
      <c r="N27" s="6" t="s">
        <v>569</v>
      </c>
    </row>
    <row r="28" customFormat="false" ht="27.75" hidden="false" customHeight="true" outlineLevel="0" collapsed="false">
      <c r="B28" s="5" t="s">
        <v>570</v>
      </c>
      <c r="C28" s="5"/>
      <c r="D28" s="5" t="s">
        <v>563</v>
      </c>
      <c r="E28" s="5" t="s">
        <v>571</v>
      </c>
      <c r="F28" s="5" t="s">
        <v>508</v>
      </c>
      <c r="G28" s="5" t="s">
        <v>486</v>
      </c>
      <c r="H28" s="5" t="s">
        <v>131</v>
      </c>
      <c r="I28" s="5" t="s">
        <v>487</v>
      </c>
      <c r="J28" s="5" t="s">
        <v>572</v>
      </c>
      <c r="K28" s="5" t="s">
        <v>573</v>
      </c>
      <c r="L28" s="6" t="s">
        <v>574</v>
      </c>
      <c r="M28" s="6" t="s">
        <v>396</v>
      </c>
      <c r="N28" s="5"/>
    </row>
    <row r="29" customFormat="false" ht="27.75" hidden="false" customHeight="true" outlineLevel="0" collapsed="false">
      <c r="B29" s="5" t="s">
        <v>575</v>
      </c>
      <c r="C29" s="5"/>
      <c r="D29" s="5" t="s">
        <v>576</v>
      </c>
      <c r="E29" s="6" t="s">
        <v>577</v>
      </c>
      <c r="F29" s="5" t="s">
        <v>508</v>
      </c>
      <c r="G29" s="5" t="s">
        <v>486</v>
      </c>
      <c r="H29" s="5" t="s">
        <v>131</v>
      </c>
      <c r="I29" s="5" t="s">
        <v>487</v>
      </c>
      <c r="J29" s="5" t="s">
        <v>578</v>
      </c>
      <c r="K29" s="5" t="s">
        <v>579</v>
      </c>
      <c r="L29" s="6" t="s">
        <v>580</v>
      </c>
      <c r="M29" s="6" t="s">
        <v>396</v>
      </c>
      <c r="N29" s="5"/>
    </row>
    <row r="30" customFormat="false" ht="27.75" hidden="false" customHeight="true" outlineLevel="0" collapsed="false">
      <c r="B30" s="5" t="s">
        <v>581</v>
      </c>
      <c r="C30" s="5"/>
      <c r="D30" s="6" t="s">
        <v>582</v>
      </c>
      <c r="E30" s="6" t="s">
        <v>583</v>
      </c>
      <c r="F30" s="5" t="s">
        <v>508</v>
      </c>
      <c r="G30" s="5" t="s">
        <v>486</v>
      </c>
      <c r="H30" s="5" t="s">
        <v>131</v>
      </c>
      <c r="I30" s="5" t="s">
        <v>487</v>
      </c>
      <c r="J30" s="5" t="s">
        <v>584</v>
      </c>
      <c r="K30" s="5" t="s">
        <v>585</v>
      </c>
      <c r="L30" s="6" t="s">
        <v>586</v>
      </c>
      <c r="M30" s="6" t="s">
        <v>396</v>
      </c>
      <c r="N30" s="5"/>
    </row>
    <row r="31" customFormat="false" ht="27.75" hidden="false" customHeight="true" outlineLevel="0" collapsed="false">
      <c r="B31" s="5" t="s">
        <v>587</v>
      </c>
      <c r="C31" s="5"/>
      <c r="D31" s="5" t="s">
        <v>588</v>
      </c>
      <c r="E31" s="6" t="s">
        <v>589</v>
      </c>
      <c r="F31" s="5" t="s">
        <v>590</v>
      </c>
      <c r="G31" s="5" t="s">
        <v>486</v>
      </c>
      <c r="H31" s="5" t="s">
        <v>131</v>
      </c>
      <c r="I31" s="5" t="s">
        <v>487</v>
      </c>
      <c r="J31" s="5" t="s">
        <v>591</v>
      </c>
      <c r="K31" s="5" t="s">
        <v>592</v>
      </c>
      <c r="L31" s="5" t="s">
        <v>593</v>
      </c>
      <c r="M31" s="5" t="s">
        <v>76</v>
      </c>
      <c r="N31" s="6" t="s">
        <v>594</v>
      </c>
    </row>
    <row r="32" customFormat="false" ht="27.75" hidden="false" customHeight="true" outlineLevel="0" collapsed="false">
      <c r="B32" s="5" t="s">
        <v>595</v>
      </c>
      <c r="C32" s="5"/>
      <c r="D32" s="5" t="s">
        <v>588</v>
      </c>
      <c r="E32" s="6" t="s">
        <v>596</v>
      </c>
      <c r="F32" s="5" t="s">
        <v>590</v>
      </c>
      <c r="G32" s="5" t="s">
        <v>486</v>
      </c>
      <c r="H32" s="5" t="s">
        <v>131</v>
      </c>
      <c r="I32" s="5" t="s">
        <v>487</v>
      </c>
      <c r="J32" s="5" t="s">
        <v>597</v>
      </c>
      <c r="K32" s="5" t="s">
        <v>598</v>
      </c>
      <c r="L32" s="5" t="s">
        <v>593</v>
      </c>
      <c r="M32" s="5" t="s">
        <v>76</v>
      </c>
      <c r="N32" s="5"/>
    </row>
    <row r="33" customFormat="false" ht="27.75" hidden="false" customHeight="true" outlineLevel="0" collapsed="false">
      <c r="B33" s="6" t="s">
        <v>599</v>
      </c>
      <c r="C33" s="5"/>
      <c r="D33" s="5" t="s">
        <v>588</v>
      </c>
      <c r="E33" s="6" t="s">
        <v>600</v>
      </c>
      <c r="F33" s="5" t="s">
        <v>508</v>
      </c>
      <c r="G33" s="5" t="s">
        <v>486</v>
      </c>
      <c r="H33" s="5" t="s">
        <v>131</v>
      </c>
      <c r="I33" s="5" t="s">
        <v>487</v>
      </c>
      <c r="J33" s="5" t="s">
        <v>601</v>
      </c>
      <c r="K33" s="5" t="s">
        <v>602</v>
      </c>
      <c r="L33" s="5" t="s">
        <v>593</v>
      </c>
      <c r="M33" s="5" t="s">
        <v>76</v>
      </c>
      <c r="N33" s="5"/>
    </row>
    <row r="34" customFormat="false" ht="27.75" hidden="false" customHeight="true" outlineLevel="0" collapsed="false">
      <c r="B34" s="6" t="s">
        <v>603</v>
      </c>
      <c r="C34" s="5"/>
      <c r="D34" s="5" t="s">
        <v>557</v>
      </c>
      <c r="E34" s="6" t="s">
        <v>604</v>
      </c>
      <c r="F34" s="5" t="s">
        <v>199</v>
      </c>
      <c r="G34" s="5" t="s">
        <v>486</v>
      </c>
      <c r="H34" s="5" t="s">
        <v>131</v>
      </c>
      <c r="I34" s="5" t="s">
        <v>487</v>
      </c>
      <c r="J34" s="5" t="s">
        <v>605</v>
      </c>
      <c r="K34" s="6" t="s">
        <v>606</v>
      </c>
      <c r="L34" s="6" t="s">
        <v>607</v>
      </c>
      <c r="M34" s="6" t="s">
        <v>396</v>
      </c>
      <c r="N34" s="6" t="s">
        <v>608</v>
      </c>
    </row>
    <row r="35" customFormat="false" ht="27.75" hidden="false" customHeight="true" outlineLevel="0" collapsed="false">
      <c r="B35" s="5" t="s">
        <v>609</v>
      </c>
      <c r="C35" s="5"/>
      <c r="D35" s="5" t="s">
        <v>539</v>
      </c>
      <c r="E35" s="6" t="s">
        <v>610</v>
      </c>
      <c r="F35" s="5" t="s">
        <v>199</v>
      </c>
      <c r="G35" s="5" t="s">
        <v>486</v>
      </c>
      <c r="H35" s="5" t="s">
        <v>131</v>
      </c>
      <c r="I35" s="5" t="s">
        <v>487</v>
      </c>
      <c r="J35" s="5" t="s">
        <v>605</v>
      </c>
      <c r="K35" s="5" t="s">
        <v>611</v>
      </c>
      <c r="L35" s="6" t="s">
        <v>612</v>
      </c>
      <c r="M35" s="6" t="s">
        <v>396</v>
      </c>
      <c r="N35" s="6" t="s">
        <v>613</v>
      </c>
    </row>
    <row r="36" customFormat="false" ht="27.75" hidden="false" customHeight="true" outlineLevel="0" collapsed="false">
      <c r="B36" s="6" t="s">
        <v>614</v>
      </c>
      <c r="C36" s="5"/>
      <c r="D36" s="5" t="s">
        <v>615</v>
      </c>
      <c r="E36" s="6" t="s">
        <v>616</v>
      </c>
      <c r="F36" s="5" t="s">
        <v>199</v>
      </c>
      <c r="G36" s="5" t="s">
        <v>486</v>
      </c>
      <c r="H36" s="5" t="s">
        <v>131</v>
      </c>
      <c r="I36" s="5" t="s">
        <v>487</v>
      </c>
      <c r="J36" s="5" t="s">
        <v>605</v>
      </c>
      <c r="K36" s="5" t="s">
        <v>617</v>
      </c>
      <c r="L36" s="6" t="s">
        <v>618</v>
      </c>
      <c r="M36" s="5" t="s">
        <v>76</v>
      </c>
      <c r="N36" s="5"/>
    </row>
    <row r="37" customFormat="false" ht="27.75" hidden="false" customHeight="true" outlineLevel="0" collapsed="false">
      <c r="B37" s="5" t="s">
        <v>619</v>
      </c>
      <c r="C37" s="5"/>
      <c r="D37" s="5" t="s">
        <v>588</v>
      </c>
      <c r="E37" s="6" t="s">
        <v>620</v>
      </c>
      <c r="F37" s="5" t="s">
        <v>199</v>
      </c>
      <c r="G37" s="5" t="s">
        <v>486</v>
      </c>
      <c r="H37" s="5" t="s">
        <v>131</v>
      </c>
      <c r="I37" s="5" t="s">
        <v>487</v>
      </c>
      <c r="J37" s="5" t="s">
        <v>605</v>
      </c>
      <c r="K37" s="5" t="s">
        <v>621</v>
      </c>
      <c r="L37" s="5" t="s">
        <v>593</v>
      </c>
      <c r="M37" s="5" t="s">
        <v>76</v>
      </c>
      <c r="N37" s="6" t="s">
        <v>622</v>
      </c>
    </row>
    <row r="38" customFormat="false" ht="27.75" hidden="false" customHeight="true" outlineLevel="0" collapsed="false">
      <c r="B38" s="5" t="s">
        <v>623</v>
      </c>
      <c r="C38" s="5"/>
      <c r="D38" s="5" t="s">
        <v>624</v>
      </c>
      <c r="E38" s="6" t="s">
        <v>625</v>
      </c>
      <c r="F38" s="6" t="s">
        <v>626</v>
      </c>
      <c r="G38" s="5" t="s">
        <v>627</v>
      </c>
      <c r="H38" s="5" t="s">
        <v>131</v>
      </c>
      <c r="I38" s="5" t="s">
        <v>628</v>
      </c>
      <c r="J38" s="5" t="s">
        <v>629</v>
      </c>
      <c r="K38" s="5" t="s">
        <v>630</v>
      </c>
      <c r="L38" s="6" t="s">
        <v>631</v>
      </c>
      <c r="M38" s="6" t="s">
        <v>396</v>
      </c>
      <c r="N38" s="6" t="s">
        <v>632</v>
      </c>
    </row>
    <row r="39" customFormat="false" ht="27.75" hidden="false" customHeight="true" outlineLevel="0" collapsed="false">
      <c r="B39" s="5" t="s">
        <v>633</v>
      </c>
      <c r="C39" s="5"/>
      <c r="D39" s="5" t="s">
        <v>624</v>
      </c>
      <c r="E39" s="6" t="s">
        <v>634</v>
      </c>
      <c r="F39" s="6" t="s">
        <v>626</v>
      </c>
      <c r="G39" s="5" t="s">
        <v>627</v>
      </c>
      <c r="H39" s="5" t="s">
        <v>131</v>
      </c>
      <c r="I39" s="5" t="s">
        <v>628</v>
      </c>
      <c r="J39" s="5" t="s">
        <v>635</v>
      </c>
      <c r="K39" s="5" t="s">
        <v>636</v>
      </c>
      <c r="L39" s="6" t="s">
        <v>637</v>
      </c>
      <c r="M39" s="6" t="s">
        <v>396</v>
      </c>
      <c r="N39" s="5"/>
    </row>
    <row r="40" customFormat="false" ht="27.75" hidden="false" customHeight="true" outlineLevel="0" collapsed="false">
      <c r="B40" s="5" t="s">
        <v>638</v>
      </c>
      <c r="C40" s="5"/>
      <c r="D40" s="5" t="s">
        <v>624</v>
      </c>
      <c r="E40" s="6" t="s">
        <v>639</v>
      </c>
      <c r="F40" s="6" t="s">
        <v>626</v>
      </c>
      <c r="G40" s="5" t="s">
        <v>627</v>
      </c>
      <c r="H40" s="5" t="s">
        <v>131</v>
      </c>
      <c r="I40" s="5" t="s">
        <v>628</v>
      </c>
      <c r="J40" s="5" t="s">
        <v>640</v>
      </c>
      <c r="K40" s="5" t="s">
        <v>641</v>
      </c>
      <c r="L40" s="6" t="s">
        <v>642</v>
      </c>
      <c r="M40" s="6" t="s">
        <v>396</v>
      </c>
      <c r="N40" s="5"/>
    </row>
    <row r="41" customFormat="false" ht="27.75" hidden="false" customHeight="true" outlineLevel="0" collapsed="false">
      <c r="B41" s="5" t="s">
        <v>643</v>
      </c>
      <c r="C41" s="5"/>
      <c r="D41" s="6" t="s">
        <v>644</v>
      </c>
      <c r="E41" s="6" t="s">
        <v>645</v>
      </c>
      <c r="F41" s="6" t="s">
        <v>626</v>
      </c>
      <c r="G41" s="5" t="s">
        <v>627</v>
      </c>
      <c r="H41" s="5" t="s">
        <v>131</v>
      </c>
      <c r="I41" s="5" t="s">
        <v>628</v>
      </c>
      <c r="J41" s="5" t="s">
        <v>646</v>
      </c>
      <c r="K41" s="5" t="s">
        <v>647</v>
      </c>
      <c r="L41" s="5" t="s">
        <v>648</v>
      </c>
      <c r="M41" s="6" t="s">
        <v>396</v>
      </c>
      <c r="N41" s="5"/>
    </row>
    <row r="42" customFormat="false" ht="27.75" hidden="false" customHeight="true" outlineLevel="0" collapsed="false">
      <c r="B42" s="5" t="s">
        <v>649</v>
      </c>
      <c r="C42" s="5"/>
      <c r="D42" s="6" t="s">
        <v>644</v>
      </c>
      <c r="E42" s="6" t="s">
        <v>650</v>
      </c>
      <c r="F42" s="6" t="s">
        <v>651</v>
      </c>
      <c r="G42" s="5" t="s">
        <v>627</v>
      </c>
      <c r="H42" s="5" t="s">
        <v>131</v>
      </c>
      <c r="I42" s="5" t="s">
        <v>628</v>
      </c>
      <c r="J42" s="5" t="s">
        <v>652</v>
      </c>
      <c r="K42" s="5" t="s">
        <v>653</v>
      </c>
      <c r="L42" s="6" t="s">
        <v>654</v>
      </c>
      <c r="M42" s="6" t="s">
        <v>396</v>
      </c>
      <c r="N42" s="6" t="s">
        <v>655</v>
      </c>
    </row>
    <row r="43" customFormat="false" ht="27.75" hidden="false" customHeight="true" outlineLevel="0" collapsed="false">
      <c r="B43" s="6" t="s">
        <v>656</v>
      </c>
      <c r="C43" s="5"/>
      <c r="D43" s="5" t="s">
        <v>657</v>
      </c>
      <c r="E43" s="6" t="s">
        <v>658</v>
      </c>
      <c r="F43" s="6" t="s">
        <v>626</v>
      </c>
      <c r="G43" s="5" t="s">
        <v>627</v>
      </c>
      <c r="H43" s="5" t="s">
        <v>131</v>
      </c>
      <c r="I43" s="5" t="s">
        <v>628</v>
      </c>
      <c r="J43" s="5" t="s">
        <v>659</v>
      </c>
      <c r="K43" s="5" t="s">
        <v>660</v>
      </c>
      <c r="L43" s="6" t="s">
        <v>661</v>
      </c>
      <c r="M43" s="6" t="s">
        <v>396</v>
      </c>
      <c r="N43" s="6" t="s">
        <v>662</v>
      </c>
    </row>
    <row r="44" customFormat="false" ht="27.75" hidden="false" customHeight="true" outlineLevel="0" collapsed="false">
      <c r="B44" s="5" t="s">
        <v>663</v>
      </c>
      <c r="C44" s="5"/>
      <c r="D44" s="5" t="s">
        <v>588</v>
      </c>
      <c r="E44" s="6" t="s">
        <v>664</v>
      </c>
      <c r="F44" s="6" t="s">
        <v>626</v>
      </c>
      <c r="G44" s="5" t="s">
        <v>627</v>
      </c>
      <c r="H44" s="5" t="s">
        <v>131</v>
      </c>
      <c r="I44" s="5" t="s">
        <v>628</v>
      </c>
      <c r="J44" s="5" t="s">
        <v>665</v>
      </c>
      <c r="K44" s="5" t="s">
        <v>666</v>
      </c>
      <c r="L44" s="6" t="s">
        <v>667</v>
      </c>
      <c r="M44" s="5" t="s">
        <v>76</v>
      </c>
      <c r="N44" s="5"/>
    </row>
    <row r="45" customFormat="false" ht="27.75" hidden="false" customHeight="true" outlineLevel="0" collapsed="false">
      <c r="B45" s="5" t="s">
        <v>668</v>
      </c>
      <c r="C45" s="5"/>
      <c r="D45" s="5" t="s">
        <v>588</v>
      </c>
      <c r="E45" s="6" t="s">
        <v>669</v>
      </c>
      <c r="F45" s="6" t="s">
        <v>626</v>
      </c>
      <c r="G45" s="5" t="s">
        <v>627</v>
      </c>
      <c r="H45" s="5" t="s">
        <v>131</v>
      </c>
      <c r="I45" s="5" t="s">
        <v>628</v>
      </c>
      <c r="J45" s="5" t="s">
        <v>670</v>
      </c>
      <c r="K45" s="5" t="s">
        <v>671</v>
      </c>
      <c r="L45" s="6" t="s">
        <v>667</v>
      </c>
      <c r="M45" s="5" t="s">
        <v>76</v>
      </c>
      <c r="N45" s="5"/>
    </row>
    <row r="46" customFormat="false" ht="27.75" hidden="false" customHeight="true" outlineLevel="0" collapsed="false">
      <c r="B46" s="6" t="s">
        <v>672</v>
      </c>
      <c r="C46" s="5"/>
      <c r="D46" s="5" t="s">
        <v>673</v>
      </c>
      <c r="E46" s="6" t="s">
        <v>674</v>
      </c>
      <c r="F46" s="5" t="s">
        <v>199</v>
      </c>
      <c r="G46" s="5" t="s">
        <v>627</v>
      </c>
      <c r="H46" s="5" t="s">
        <v>131</v>
      </c>
      <c r="I46" s="5" t="s">
        <v>628</v>
      </c>
      <c r="J46" s="5" t="s">
        <v>675</v>
      </c>
      <c r="K46" s="6" t="s">
        <v>676</v>
      </c>
      <c r="L46" s="6" t="s">
        <v>677</v>
      </c>
      <c r="M46" s="6" t="s">
        <v>396</v>
      </c>
      <c r="N46" s="6" t="s">
        <v>678</v>
      </c>
    </row>
    <row r="47" customFormat="false" ht="27.75" hidden="false" customHeight="true" outlineLevel="0" collapsed="false">
      <c r="B47" s="6" t="s">
        <v>679</v>
      </c>
      <c r="C47" s="5"/>
      <c r="D47" s="5" t="s">
        <v>657</v>
      </c>
      <c r="E47" s="6" t="s">
        <v>680</v>
      </c>
      <c r="F47" s="5" t="s">
        <v>199</v>
      </c>
      <c r="G47" s="5" t="s">
        <v>627</v>
      </c>
      <c r="H47" s="5" t="s">
        <v>131</v>
      </c>
      <c r="I47" s="5" t="s">
        <v>628</v>
      </c>
      <c r="J47" s="5" t="s">
        <v>675</v>
      </c>
      <c r="K47" s="5" t="s">
        <v>681</v>
      </c>
      <c r="L47" s="6" t="s">
        <v>682</v>
      </c>
      <c r="M47" s="6" t="s">
        <v>396</v>
      </c>
      <c r="N47" s="5"/>
    </row>
    <row r="48" customFormat="false" ht="27.75" hidden="false" customHeight="true" outlineLevel="0" collapsed="false">
      <c r="B48" s="6" t="s">
        <v>683</v>
      </c>
      <c r="C48" s="5"/>
      <c r="D48" s="5" t="s">
        <v>684</v>
      </c>
      <c r="E48" s="6" t="s">
        <v>685</v>
      </c>
      <c r="F48" s="5" t="s">
        <v>199</v>
      </c>
      <c r="G48" s="5" t="s">
        <v>627</v>
      </c>
      <c r="H48" s="5" t="s">
        <v>131</v>
      </c>
      <c r="I48" s="5" t="s">
        <v>628</v>
      </c>
      <c r="J48" s="5" t="s">
        <v>675</v>
      </c>
      <c r="K48" s="5" t="s">
        <v>686</v>
      </c>
      <c r="L48" s="6" t="s">
        <v>687</v>
      </c>
      <c r="M48" s="5" t="s">
        <v>76</v>
      </c>
      <c r="N48" s="6" t="s">
        <v>688</v>
      </c>
    </row>
    <row r="49" customFormat="false" ht="27.75" hidden="false" customHeight="true" outlineLevel="0" collapsed="false">
      <c r="B49" s="5" t="s">
        <v>689</v>
      </c>
      <c r="C49" s="5"/>
      <c r="D49" s="5" t="s">
        <v>690</v>
      </c>
      <c r="E49" s="6" t="s">
        <v>691</v>
      </c>
      <c r="F49" s="5" t="s">
        <v>199</v>
      </c>
      <c r="G49" s="5" t="s">
        <v>627</v>
      </c>
      <c r="H49" s="5" t="s">
        <v>131</v>
      </c>
      <c r="I49" s="5" t="s">
        <v>628</v>
      </c>
      <c r="J49" s="5" t="s">
        <v>675</v>
      </c>
      <c r="K49" s="5" t="s">
        <v>692</v>
      </c>
      <c r="L49" s="6" t="s">
        <v>693</v>
      </c>
      <c r="M49" s="5" t="s">
        <v>76</v>
      </c>
      <c r="N49" s="6" t="s">
        <v>694</v>
      </c>
    </row>
  </sheetData>
  <autoFilter ref="B5:N49"/>
  <mergeCells count="1">
    <mergeCell ref="B2:N2"/>
  </mergeCells>
  <conditionalFormatting sqref="B6:Z49">
    <cfRule type="expression" priority="2" aboveAverage="0" equalAverage="0" bottom="0" percent="0" rank="0" text="" dxfId="7">
      <formula>$M6="Confirmed from notes"</formula>
    </cfRule>
    <cfRule type="expression" priority="3" aboveAverage="0" equalAverage="0" bottom="0" percent="0" rank="0" text="" dxfId="8">
      <formula>$M6="Inferred / likely"</formula>
    </cfRule>
    <cfRule type="expression" priority="4" aboveAverage="0" equalAverage="0" bottom="0" percent="0" rank="0" text="" dxfId="8">
      <formula>$M6="Verify in cabinet"</formula>
    </cfRule>
    <cfRule type="expression" priority="5" aboveAverage="0" equalAverage="0" bottom="0" percent="0" rank="0" text="" dxfId="8">
      <formula>$M6="Measure before buying"</formula>
    </cfRule>
    <cfRule type="expression" priority="6" aboveAverage="0" equalAverage="0" bottom="0" percent="0" rank="0" text="" dxfId="9">
      <formula>$M6="Optional"</formula>
    </cfRule>
  </conditionalFormatting>
  <dataValidations count="3">
    <dataValidation allowBlank="true" errorStyle="stop" operator="between" showDropDown="false" showErrorMessage="false" showInputMessage="false" sqref="G6:G49" type="list">
      <formula1>"IN,OUT,ANALOG OUT,ENCODER IN,POWER,LOGIC,MECHANICAL,USB,TBD"</formula1>
      <formula2>0</formula2>
    </dataValidation>
    <dataValidation allowBlank="true" errorStyle="stop" operator="between" showDropDown="false" showErrorMessage="false" showInputMessage="false" sqref="H6:H49" type="list">
      <formula1>"6i25,7i77,7i84,7i85/7i85S,LinuxCNC USB,Existing Mazak,HR-11F-24,DIN rail / panel,TBD"</formula1>
      <formula2>0</formula2>
    </dataValidation>
    <dataValidation allowBlank="true" errorStyle="stop" operator="between" showDropDown="false" showErrorMessage="false" showInputMessage="false" sqref="M6:M49" type="list">
      <formula1>"Confirmed from notes,Inferred / likely,Verify in cabinet,Measure before buying,Optional,TBD"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25.51"/>
    <col collapsed="false" customWidth="true" hidden="false" outlineLevel="0" max="4" min="4" style="1" width="15.6"/>
    <col collapsed="false" customWidth="true" hidden="false" outlineLevel="0" max="5" min="5" style="1" width="33.6"/>
    <col collapsed="false" customWidth="true" hidden="false" outlineLevel="0" max="6" min="6" style="1" width="20.1"/>
    <col collapsed="false" customWidth="true" hidden="false" outlineLevel="0" max="9" min="7" style="1" width="11.1"/>
    <col collapsed="false" customWidth="true" hidden="false" outlineLevel="0" max="10" min="10" style="1" width="19.2"/>
    <col collapsed="false" customWidth="true" hidden="false" outlineLevel="0" max="11" min="11" style="1" width="21"/>
    <col collapsed="false" customWidth="true" hidden="false" outlineLevel="0" max="12" min="12" style="1" width="30"/>
    <col collapsed="false" customWidth="true" hidden="false" outlineLevel="0" max="13" min="13" style="1" width="21"/>
    <col collapsed="false" customWidth="true" hidden="false" outlineLevel="0" max="14" min="14" style="1" width="40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909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7.75" hidden="false" customHeight="true" outlineLevel="0" collapsed="false">
      <c r="B3" s="3" t="s">
        <v>910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417</v>
      </c>
      <c r="C5" s="4" t="s">
        <v>418</v>
      </c>
      <c r="D5" s="4" t="s">
        <v>419</v>
      </c>
      <c r="E5" s="4" t="s">
        <v>420</v>
      </c>
      <c r="F5" s="4" t="s">
        <v>421</v>
      </c>
      <c r="G5" s="4" t="s">
        <v>422</v>
      </c>
      <c r="H5" s="4" t="s">
        <v>423</v>
      </c>
      <c r="I5" s="4" t="s">
        <v>424</v>
      </c>
      <c r="J5" s="4" t="s">
        <v>425</v>
      </c>
      <c r="K5" s="4" t="s">
        <v>426</v>
      </c>
      <c r="L5" s="4" t="s">
        <v>427</v>
      </c>
      <c r="M5" s="4" t="s">
        <v>44</v>
      </c>
      <c r="N5" s="4" t="s">
        <v>45</v>
      </c>
    </row>
    <row r="6" customFormat="false" ht="27.75" hidden="false" customHeight="true" outlineLevel="0" collapsed="false">
      <c r="B6" s="5" t="s">
        <v>695</v>
      </c>
      <c r="C6" s="5" t="s">
        <v>696</v>
      </c>
      <c r="D6" s="5" t="s">
        <v>697</v>
      </c>
      <c r="E6" s="6" t="s">
        <v>698</v>
      </c>
      <c r="F6" s="5" t="s">
        <v>508</v>
      </c>
      <c r="G6" s="5" t="s">
        <v>486</v>
      </c>
      <c r="H6" s="5" t="s">
        <v>160</v>
      </c>
      <c r="I6" s="5" t="s">
        <v>699</v>
      </c>
      <c r="J6" s="5" t="s">
        <v>488</v>
      </c>
      <c r="K6" s="5" t="s">
        <v>700</v>
      </c>
      <c r="L6" s="6" t="s">
        <v>701</v>
      </c>
      <c r="M6" s="6" t="s">
        <v>406</v>
      </c>
      <c r="N6" s="5"/>
    </row>
    <row r="7" customFormat="false" ht="27.75" hidden="false" customHeight="true" outlineLevel="0" collapsed="false">
      <c r="B7" s="5" t="s">
        <v>702</v>
      </c>
      <c r="C7" s="5" t="s">
        <v>703</v>
      </c>
      <c r="D7" s="5" t="s">
        <v>697</v>
      </c>
      <c r="E7" s="6" t="s">
        <v>704</v>
      </c>
      <c r="F7" s="5" t="s">
        <v>508</v>
      </c>
      <c r="G7" s="5" t="s">
        <v>486</v>
      </c>
      <c r="H7" s="5" t="s">
        <v>160</v>
      </c>
      <c r="I7" s="5" t="s">
        <v>699</v>
      </c>
      <c r="J7" s="5" t="s">
        <v>496</v>
      </c>
      <c r="K7" s="5" t="s">
        <v>705</v>
      </c>
      <c r="L7" s="6" t="s">
        <v>706</v>
      </c>
      <c r="M7" s="6" t="s">
        <v>406</v>
      </c>
      <c r="N7" s="5"/>
    </row>
    <row r="8" customFormat="false" ht="27.75" hidden="false" customHeight="true" outlineLevel="0" collapsed="false">
      <c r="B8" s="5" t="s">
        <v>707</v>
      </c>
      <c r="C8" s="5"/>
      <c r="D8" s="5" t="s">
        <v>708</v>
      </c>
      <c r="E8" s="6" t="s">
        <v>709</v>
      </c>
      <c r="F8" s="5" t="s">
        <v>508</v>
      </c>
      <c r="G8" s="5" t="s">
        <v>486</v>
      </c>
      <c r="H8" s="5" t="s">
        <v>160</v>
      </c>
      <c r="I8" s="5" t="s">
        <v>699</v>
      </c>
      <c r="J8" s="5" t="s">
        <v>503</v>
      </c>
      <c r="K8" s="5" t="s">
        <v>710</v>
      </c>
      <c r="L8" s="6" t="s">
        <v>711</v>
      </c>
      <c r="M8" s="6" t="s">
        <v>396</v>
      </c>
      <c r="N8" s="6" t="s">
        <v>712</v>
      </c>
    </row>
    <row r="9" customFormat="false" ht="27.75" hidden="false" customHeight="true" outlineLevel="0" collapsed="false">
      <c r="B9" s="5" t="s">
        <v>713</v>
      </c>
      <c r="C9" s="5"/>
      <c r="D9" s="5" t="s">
        <v>708</v>
      </c>
      <c r="E9" s="6" t="s">
        <v>714</v>
      </c>
      <c r="F9" s="5" t="s">
        <v>508</v>
      </c>
      <c r="G9" s="5" t="s">
        <v>486</v>
      </c>
      <c r="H9" s="5" t="s">
        <v>160</v>
      </c>
      <c r="I9" s="5" t="s">
        <v>699</v>
      </c>
      <c r="J9" s="5" t="s">
        <v>509</v>
      </c>
      <c r="K9" s="5" t="s">
        <v>715</v>
      </c>
      <c r="L9" s="6" t="s">
        <v>711</v>
      </c>
      <c r="M9" s="6" t="s">
        <v>396</v>
      </c>
      <c r="N9" s="5"/>
    </row>
    <row r="10" customFormat="false" ht="27.75" hidden="false" customHeight="true" outlineLevel="0" collapsed="false">
      <c r="B10" s="6" t="s">
        <v>716</v>
      </c>
      <c r="C10" s="5" t="s">
        <v>717</v>
      </c>
      <c r="D10" s="5" t="s">
        <v>718</v>
      </c>
      <c r="E10" s="6" t="s">
        <v>719</v>
      </c>
      <c r="F10" s="5" t="s">
        <v>508</v>
      </c>
      <c r="G10" s="5" t="s">
        <v>486</v>
      </c>
      <c r="H10" s="5" t="s">
        <v>160</v>
      </c>
      <c r="I10" s="5" t="s">
        <v>699</v>
      </c>
      <c r="J10" s="5" t="s">
        <v>516</v>
      </c>
      <c r="K10" s="5" t="s">
        <v>720</v>
      </c>
      <c r="L10" s="6" t="s">
        <v>721</v>
      </c>
      <c r="M10" s="6" t="s">
        <v>406</v>
      </c>
      <c r="N10" s="5"/>
    </row>
    <row r="11" customFormat="false" ht="27.75" hidden="false" customHeight="true" outlineLevel="0" collapsed="false">
      <c r="B11" s="5" t="s">
        <v>722</v>
      </c>
      <c r="C11" s="5" t="s">
        <v>723</v>
      </c>
      <c r="D11" s="5" t="s">
        <v>718</v>
      </c>
      <c r="E11" s="6" t="s">
        <v>724</v>
      </c>
      <c r="F11" s="5" t="s">
        <v>508</v>
      </c>
      <c r="G11" s="5" t="s">
        <v>486</v>
      </c>
      <c r="H11" s="5" t="s">
        <v>160</v>
      </c>
      <c r="I11" s="5" t="s">
        <v>699</v>
      </c>
      <c r="J11" s="5" t="s">
        <v>521</v>
      </c>
      <c r="K11" s="5" t="s">
        <v>725</v>
      </c>
      <c r="L11" s="6" t="s">
        <v>726</v>
      </c>
      <c r="M11" s="6" t="s">
        <v>406</v>
      </c>
      <c r="N11" s="5"/>
    </row>
    <row r="12" customFormat="false" ht="27.75" hidden="false" customHeight="true" outlineLevel="0" collapsed="false">
      <c r="B12" s="5" t="s">
        <v>727</v>
      </c>
      <c r="C12" s="5" t="s">
        <v>728</v>
      </c>
      <c r="D12" s="5" t="s">
        <v>718</v>
      </c>
      <c r="E12" s="6" t="s">
        <v>729</v>
      </c>
      <c r="F12" s="5" t="s">
        <v>508</v>
      </c>
      <c r="G12" s="5" t="s">
        <v>486</v>
      </c>
      <c r="H12" s="5" t="s">
        <v>160</v>
      </c>
      <c r="I12" s="5" t="s">
        <v>699</v>
      </c>
      <c r="J12" s="5" t="s">
        <v>526</v>
      </c>
      <c r="K12" s="5" t="s">
        <v>730</v>
      </c>
      <c r="L12" s="6" t="s">
        <v>726</v>
      </c>
      <c r="M12" s="6" t="s">
        <v>406</v>
      </c>
      <c r="N12" s="5"/>
    </row>
    <row r="13" customFormat="false" ht="27.75" hidden="false" customHeight="true" outlineLevel="0" collapsed="false">
      <c r="B13" s="5" t="s">
        <v>731</v>
      </c>
      <c r="C13" s="5" t="s">
        <v>732</v>
      </c>
      <c r="D13" s="5" t="s">
        <v>718</v>
      </c>
      <c r="E13" s="6" t="s">
        <v>733</v>
      </c>
      <c r="F13" s="5" t="s">
        <v>508</v>
      </c>
      <c r="G13" s="5" t="s">
        <v>486</v>
      </c>
      <c r="H13" s="5" t="s">
        <v>160</v>
      </c>
      <c r="I13" s="5" t="s">
        <v>699</v>
      </c>
      <c r="J13" s="5" t="s">
        <v>531</v>
      </c>
      <c r="K13" s="5" t="s">
        <v>734</v>
      </c>
      <c r="L13" s="6" t="s">
        <v>726</v>
      </c>
      <c r="M13" s="6" t="s">
        <v>406</v>
      </c>
      <c r="N13" s="5"/>
    </row>
    <row r="14" customFormat="false" ht="27.75" hidden="false" customHeight="true" outlineLevel="0" collapsed="false">
      <c r="B14" s="5" t="s">
        <v>735</v>
      </c>
      <c r="C14" s="5" t="s">
        <v>736</v>
      </c>
      <c r="D14" s="5" t="s">
        <v>718</v>
      </c>
      <c r="E14" s="6" t="s">
        <v>737</v>
      </c>
      <c r="F14" s="5" t="s">
        <v>508</v>
      </c>
      <c r="G14" s="5" t="s">
        <v>486</v>
      </c>
      <c r="H14" s="5" t="s">
        <v>160</v>
      </c>
      <c r="I14" s="5" t="s">
        <v>699</v>
      </c>
      <c r="J14" s="5" t="s">
        <v>536</v>
      </c>
      <c r="K14" s="5" t="s">
        <v>738</v>
      </c>
      <c r="L14" s="6" t="s">
        <v>726</v>
      </c>
      <c r="M14" s="6" t="s">
        <v>406</v>
      </c>
      <c r="N14" s="5"/>
    </row>
    <row r="15" customFormat="false" ht="27.75" hidden="false" customHeight="true" outlineLevel="0" collapsed="false">
      <c r="B15" s="5" t="s">
        <v>739</v>
      </c>
      <c r="C15" s="5" t="s">
        <v>740</v>
      </c>
      <c r="D15" s="5" t="s">
        <v>718</v>
      </c>
      <c r="E15" s="6" t="s">
        <v>741</v>
      </c>
      <c r="F15" s="5" t="s">
        <v>508</v>
      </c>
      <c r="G15" s="5" t="s">
        <v>486</v>
      </c>
      <c r="H15" s="5" t="s">
        <v>160</v>
      </c>
      <c r="I15" s="5" t="s">
        <v>699</v>
      </c>
      <c r="J15" s="5" t="s">
        <v>542</v>
      </c>
      <c r="K15" s="5" t="s">
        <v>742</v>
      </c>
      <c r="L15" s="6" t="s">
        <v>726</v>
      </c>
      <c r="M15" s="6" t="s">
        <v>396</v>
      </c>
      <c r="N15" s="6" t="s">
        <v>743</v>
      </c>
    </row>
    <row r="16" customFormat="false" ht="27.75" hidden="false" customHeight="true" outlineLevel="0" collapsed="false">
      <c r="B16" s="5" t="s">
        <v>744</v>
      </c>
      <c r="C16" s="5"/>
      <c r="D16" s="5" t="s">
        <v>745</v>
      </c>
      <c r="E16" s="6" t="s">
        <v>746</v>
      </c>
      <c r="F16" s="5" t="s">
        <v>508</v>
      </c>
      <c r="G16" s="5" t="s">
        <v>486</v>
      </c>
      <c r="H16" s="5" t="s">
        <v>160</v>
      </c>
      <c r="I16" s="5" t="s">
        <v>699</v>
      </c>
      <c r="J16" s="5" t="s">
        <v>548</v>
      </c>
      <c r="K16" s="5" t="s">
        <v>747</v>
      </c>
      <c r="L16" s="6" t="s">
        <v>748</v>
      </c>
      <c r="M16" s="5" t="s">
        <v>76</v>
      </c>
      <c r="N16" s="5"/>
    </row>
    <row r="17" customFormat="false" ht="27.75" hidden="false" customHeight="true" outlineLevel="0" collapsed="false">
      <c r="B17" s="5" t="s">
        <v>749</v>
      </c>
      <c r="C17" s="5"/>
      <c r="D17" s="5" t="s">
        <v>750</v>
      </c>
      <c r="E17" s="6" t="s">
        <v>751</v>
      </c>
      <c r="F17" s="5" t="s">
        <v>508</v>
      </c>
      <c r="G17" s="5" t="s">
        <v>486</v>
      </c>
      <c r="H17" s="5" t="s">
        <v>160</v>
      </c>
      <c r="I17" s="5" t="s">
        <v>699</v>
      </c>
      <c r="J17" s="5" t="s">
        <v>553</v>
      </c>
      <c r="K17" s="5" t="s">
        <v>752</v>
      </c>
      <c r="L17" s="6" t="s">
        <v>753</v>
      </c>
      <c r="M17" s="6" t="s">
        <v>396</v>
      </c>
      <c r="N17" s="6" t="s">
        <v>754</v>
      </c>
    </row>
    <row r="18" customFormat="false" ht="27.75" hidden="false" customHeight="true" outlineLevel="0" collapsed="false">
      <c r="B18" s="6" t="s">
        <v>755</v>
      </c>
      <c r="C18" s="5"/>
      <c r="D18" s="5" t="s">
        <v>718</v>
      </c>
      <c r="E18" s="6" t="s">
        <v>756</v>
      </c>
      <c r="F18" s="5" t="s">
        <v>199</v>
      </c>
      <c r="G18" s="5" t="s">
        <v>486</v>
      </c>
      <c r="H18" s="5" t="s">
        <v>160</v>
      </c>
      <c r="I18" s="5" t="s">
        <v>699</v>
      </c>
      <c r="J18" s="5" t="s">
        <v>605</v>
      </c>
      <c r="K18" s="6" t="s">
        <v>757</v>
      </c>
      <c r="L18" s="6" t="s">
        <v>758</v>
      </c>
      <c r="M18" s="6" t="s">
        <v>396</v>
      </c>
      <c r="N18" s="5"/>
    </row>
    <row r="19" customFormat="false" ht="27.75" hidden="false" customHeight="true" outlineLevel="0" collapsed="false">
      <c r="B19" s="5" t="s">
        <v>759</v>
      </c>
      <c r="C19" s="5"/>
      <c r="D19" s="5" t="s">
        <v>588</v>
      </c>
      <c r="E19" s="6" t="s">
        <v>760</v>
      </c>
      <c r="F19" s="5" t="s">
        <v>590</v>
      </c>
      <c r="G19" s="5" t="s">
        <v>486</v>
      </c>
      <c r="H19" s="5" t="s">
        <v>160</v>
      </c>
      <c r="I19" s="5" t="s">
        <v>699</v>
      </c>
      <c r="J19" s="5" t="s">
        <v>605</v>
      </c>
      <c r="K19" s="5" t="s">
        <v>761</v>
      </c>
      <c r="L19" s="5" t="s">
        <v>593</v>
      </c>
      <c r="M19" s="5" t="s">
        <v>76</v>
      </c>
      <c r="N19" s="5"/>
    </row>
    <row r="20" customFormat="false" ht="27.75" hidden="false" customHeight="true" outlineLevel="0" collapsed="false">
      <c r="B20" s="6" t="s">
        <v>762</v>
      </c>
      <c r="C20" s="5"/>
      <c r="D20" s="5" t="s">
        <v>588</v>
      </c>
      <c r="E20" s="6" t="s">
        <v>763</v>
      </c>
      <c r="F20" s="5" t="s">
        <v>199</v>
      </c>
      <c r="G20" s="5" t="s">
        <v>486</v>
      </c>
      <c r="H20" s="5" t="s">
        <v>160</v>
      </c>
      <c r="I20" s="5" t="s">
        <v>699</v>
      </c>
      <c r="J20" s="5" t="s">
        <v>605</v>
      </c>
      <c r="K20" s="6" t="s">
        <v>764</v>
      </c>
      <c r="L20" s="5" t="s">
        <v>593</v>
      </c>
      <c r="M20" s="5" t="s">
        <v>76</v>
      </c>
      <c r="N20" s="6" t="s">
        <v>765</v>
      </c>
    </row>
    <row r="21" customFormat="false" ht="27.75" hidden="false" customHeight="true" outlineLevel="0" collapsed="false">
      <c r="B21" s="5" t="s">
        <v>766</v>
      </c>
      <c r="C21" s="5"/>
      <c r="D21" s="5" t="s">
        <v>767</v>
      </c>
      <c r="E21" s="6" t="s">
        <v>768</v>
      </c>
      <c r="F21" s="5" t="s">
        <v>590</v>
      </c>
      <c r="G21" s="5" t="s">
        <v>486</v>
      </c>
      <c r="H21" s="5" t="s">
        <v>160</v>
      </c>
      <c r="I21" s="5" t="s">
        <v>699</v>
      </c>
      <c r="J21" s="5" t="s">
        <v>605</v>
      </c>
      <c r="K21" s="5" t="s">
        <v>769</v>
      </c>
      <c r="L21" s="6" t="s">
        <v>770</v>
      </c>
      <c r="M21" s="5" t="s">
        <v>76</v>
      </c>
      <c r="N21" s="5"/>
    </row>
    <row r="22" customFormat="false" ht="27.75" hidden="false" customHeight="true" outlineLevel="0" collapsed="false">
      <c r="B22" s="6" t="s">
        <v>771</v>
      </c>
      <c r="C22" s="5"/>
      <c r="D22" s="5" t="s">
        <v>772</v>
      </c>
      <c r="E22" s="6" t="s">
        <v>773</v>
      </c>
      <c r="F22" s="5" t="s">
        <v>199</v>
      </c>
      <c r="G22" s="5" t="s">
        <v>486</v>
      </c>
      <c r="H22" s="5" t="s">
        <v>160</v>
      </c>
      <c r="I22" s="5" t="s">
        <v>699</v>
      </c>
      <c r="J22" s="5" t="s">
        <v>605</v>
      </c>
      <c r="K22" s="6" t="s">
        <v>774</v>
      </c>
      <c r="L22" s="6" t="s">
        <v>775</v>
      </c>
      <c r="M22" s="5" t="s">
        <v>76</v>
      </c>
      <c r="N22" s="5" t="s">
        <v>776</v>
      </c>
    </row>
    <row r="23" customFormat="false" ht="27.75" hidden="false" customHeight="true" outlineLevel="0" collapsed="false">
      <c r="B23" s="6" t="s">
        <v>777</v>
      </c>
      <c r="C23" s="5" t="s">
        <v>778</v>
      </c>
      <c r="D23" s="5" t="s">
        <v>697</v>
      </c>
      <c r="E23" s="6" t="s">
        <v>779</v>
      </c>
      <c r="F23" s="6" t="s">
        <v>626</v>
      </c>
      <c r="G23" s="5" t="s">
        <v>627</v>
      </c>
      <c r="H23" s="5" t="s">
        <v>160</v>
      </c>
      <c r="I23" s="5" t="s">
        <v>780</v>
      </c>
      <c r="J23" s="5" t="s">
        <v>629</v>
      </c>
      <c r="K23" s="6" t="s">
        <v>781</v>
      </c>
      <c r="L23" s="6" t="s">
        <v>782</v>
      </c>
      <c r="M23" s="6" t="s">
        <v>406</v>
      </c>
      <c r="N23" s="6" t="s">
        <v>783</v>
      </c>
    </row>
    <row r="24" customFormat="false" ht="27.75" hidden="false" customHeight="true" outlineLevel="0" collapsed="false">
      <c r="B24" s="5" t="s">
        <v>784</v>
      </c>
      <c r="C24" s="5" t="s">
        <v>785</v>
      </c>
      <c r="D24" s="5" t="s">
        <v>718</v>
      </c>
      <c r="E24" s="6" t="s">
        <v>786</v>
      </c>
      <c r="F24" s="6" t="s">
        <v>626</v>
      </c>
      <c r="G24" s="5" t="s">
        <v>627</v>
      </c>
      <c r="H24" s="5" t="s">
        <v>160</v>
      </c>
      <c r="I24" s="5" t="s">
        <v>780</v>
      </c>
      <c r="J24" s="5" t="s">
        <v>635</v>
      </c>
      <c r="K24" s="5" t="s">
        <v>787</v>
      </c>
      <c r="L24" s="6" t="s">
        <v>782</v>
      </c>
      <c r="M24" s="6" t="s">
        <v>406</v>
      </c>
      <c r="N24" s="5"/>
    </row>
    <row r="25" customFormat="false" ht="27.75" hidden="false" customHeight="true" outlineLevel="0" collapsed="false">
      <c r="B25" s="5" t="s">
        <v>788</v>
      </c>
      <c r="C25" s="5" t="s">
        <v>789</v>
      </c>
      <c r="D25" s="5" t="s">
        <v>718</v>
      </c>
      <c r="E25" s="6" t="s">
        <v>790</v>
      </c>
      <c r="F25" s="6" t="s">
        <v>626</v>
      </c>
      <c r="G25" s="5" t="s">
        <v>627</v>
      </c>
      <c r="H25" s="5" t="s">
        <v>160</v>
      </c>
      <c r="I25" s="5" t="s">
        <v>780</v>
      </c>
      <c r="J25" s="5" t="s">
        <v>640</v>
      </c>
      <c r="K25" s="5" t="s">
        <v>791</v>
      </c>
      <c r="L25" s="6" t="s">
        <v>782</v>
      </c>
      <c r="M25" s="6" t="s">
        <v>406</v>
      </c>
      <c r="N25" s="5"/>
    </row>
    <row r="26" customFormat="false" ht="27.75" hidden="false" customHeight="true" outlineLevel="0" collapsed="false">
      <c r="B26" s="5" t="s">
        <v>792</v>
      </c>
      <c r="C26" s="5" t="s">
        <v>793</v>
      </c>
      <c r="D26" s="5" t="s">
        <v>718</v>
      </c>
      <c r="E26" s="6" t="s">
        <v>794</v>
      </c>
      <c r="F26" s="6" t="s">
        <v>626</v>
      </c>
      <c r="G26" s="5" t="s">
        <v>627</v>
      </c>
      <c r="H26" s="5" t="s">
        <v>160</v>
      </c>
      <c r="I26" s="5" t="s">
        <v>780</v>
      </c>
      <c r="J26" s="5" t="s">
        <v>646</v>
      </c>
      <c r="K26" s="5" t="s">
        <v>795</v>
      </c>
      <c r="L26" s="6" t="s">
        <v>796</v>
      </c>
      <c r="M26" s="6" t="s">
        <v>396</v>
      </c>
      <c r="N26" s="6" t="s">
        <v>797</v>
      </c>
    </row>
    <row r="27" customFormat="false" ht="27.75" hidden="false" customHeight="true" outlineLevel="0" collapsed="false">
      <c r="B27" s="6" t="s">
        <v>798</v>
      </c>
      <c r="C27" s="5" t="s">
        <v>799</v>
      </c>
      <c r="D27" s="5" t="s">
        <v>718</v>
      </c>
      <c r="E27" s="6" t="s">
        <v>800</v>
      </c>
      <c r="F27" s="6" t="s">
        <v>626</v>
      </c>
      <c r="G27" s="5" t="s">
        <v>627</v>
      </c>
      <c r="H27" s="5" t="s">
        <v>160</v>
      </c>
      <c r="I27" s="5" t="s">
        <v>780</v>
      </c>
      <c r="J27" s="5" t="s">
        <v>652</v>
      </c>
      <c r="K27" s="6" t="s">
        <v>801</v>
      </c>
      <c r="L27" s="6" t="s">
        <v>796</v>
      </c>
      <c r="M27" s="6" t="s">
        <v>396</v>
      </c>
      <c r="N27" s="5"/>
    </row>
    <row r="28" customFormat="false" ht="27.75" hidden="false" customHeight="true" outlineLevel="0" collapsed="false">
      <c r="B28" s="5" t="s">
        <v>802</v>
      </c>
      <c r="C28" s="5" t="s">
        <v>803</v>
      </c>
      <c r="D28" s="5" t="s">
        <v>745</v>
      </c>
      <c r="E28" s="6" t="s">
        <v>804</v>
      </c>
      <c r="F28" s="6" t="s">
        <v>626</v>
      </c>
      <c r="G28" s="5" t="s">
        <v>627</v>
      </c>
      <c r="H28" s="5" t="s">
        <v>160</v>
      </c>
      <c r="I28" s="5" t="s">
        <v>780</v>
      </c>
      <c r="J28" s="5" t="s">
        <v>659</v>
      </c>
      <c r="K28" s="5" t="s">
        <v>805</v>
      </c>
      <c r="L28" s="6" t="s">
        <v>806</v>
      </c>
      <c r="M28" s="6" t="s">
        <v>406</v>
      </c>
      <c r="N28" s="6" t="s">
        <v>807</v>
      </c>
    </row>
    <row r="29" customFormat="false" ht="27.75" hidden="false" customHeight="true" outlineLevel="0" collapsed="false">
      <c r="B29" s="5" t="s">
        <v>808</v>
      </c>
      <c r="C29" s="5" t="s">
        <v>809</v>
      </c>
      <c r="D29" s="5" t="s">
        <v>745</v>
      </c>
      <c r="E29" s="6" t="s">
        <v>810</v>
      </c>
      <c r="F29" s="6" t="s">
        <v>626</v>
      </c>
      <c r="G29" s="5" t="s">
        <v>627</v>
      </c>
      <c r="H29" s="5" t="s">
        <v>160</v>
      </c>
      <c r="I29" s="5" t="s">
        <v>780</v>
      </c>
      <c r="J29" s="5" t="s">
        <v>665</v>
      </c>
      <c r="K29" s="5" t="s">
        <v>811</v>
      </c>
      <c r="L29" s="6" t="s">
        <v>812</v>
      </c>
      <c r="M29" s="5" t="s">
        <v>76</v>
      </c>
      <c r="N29" s="5"/>
    </row>
    <row r="30" customFormat="false" ht="27.75" hidden="false" customHeight="true" outlineLevel="0" collapsed="false">
      <c r="B30" s="5" t="s">
        <v>813</v>
      </c>
      <c r="C30" s="5" t="s">
        <v>814</v>
      </c>
      <c r="D30" s="5" t="s">
        <v>815</v>
      </c>
      <c r="E30" s="6" t="s">
        <v>816</v>
      </c>
      <c r="F30" s="6" t="s">
        <v>626</v>
      </c>
      <c r="G30" s="5" t="s">
        <v>627</v>
      </c>
      <c r="H30" s="5" t="s">
        <v>160</v>
      </c>
      <c r="I30" s="5" t="s">
        <v>780</v>
      </c>
      <c r="J30" s="5" t="s">
        <v>670</v>
      </c>
      <c r="K30" s="5" t="s">
        <v>817</v>
      </c>
      <c r="L30" s="5" t="s">
        <v>818</v>
      </c>
      <c r="M30" s="6" t="s">
        <v>406</v>
      </c>
      <c r="N30" s="5"/>
    </row>
    <row r="31" customFormat="false" ht="27.75" hidden="false" customHeight="true" outlineLevel="0" collapsed="false">
      <c r="B31" s="5" t="s">
        <v>819</v>
      </c>
      <c r="C31" s="5" t="s">
        <v>820</v>
      </c>
      <c r="D31" s="5" t="s">
        <v>815</v>
      </c>
      <c r="E31" s="6" t="s">
        <v>821</v>
      </c>
      <c r="F31" s="6" t="s">
        <v>626</v>
      </c>
      <c r="G31" s="5" t="s">
        <v>627</v>
      </c>
      <c r="H31" s="5" t="s">
        <v>160</v>
      </c>
      <c r="I31" s="5" t="s">
        <v>780</v>
      </c>
      <c r="J31" s="5" t="s">
        <v>822</v>
      </c>
      <c r="K31" s="5" t="s">
        <v>823</v>
      </c>
      <c r="L31" s="5" t="s">
        <v>818</v>
      </c>
      <c r="M31" s="6" t="s">
        <v>406</v>
      </c>
      <c r="N31" s="5"/>
    </row>
    <row r="32" customFormat="false" ht="27.75" hidden="false" customHeight="true" outlineLevel="0" collapsed="false">
      <c r="B32" s="5" t="s">
        <v>824</v>
      </c>
      <c r="C32" s="5" t="s">
        <v>825</v>
      </c>
      <c r="D32" s="5" t="s">
        <v>745</v>
      </c>
      <c r="E32" s="6" t="s">
        <v>826</v>
      </c>
      <c r="F32" s="6" t="s">
        <v>626</v>
      </c>
      <c r="G32" s="5" t="s">
        <v>627</v>
      </c>
      <c r="H32" s="5" t="s">
        <v>160</v>
      </c>
      <c r="I32" s="5" t="s">
        <v>780</v>
      </c>
      <c r="J32" s="5" t="s">
        <v>827</v>
      </c>
      <c r="K32" s="5" t="s">
        <v>828</v>
      </c>
      <c r="L32" s="6" t="s">
        <v>829</v>
      </c>
      <c r="M32" s="5" t="s">
        <v>76</v>
      </c>
      <c r="N32" s="5"/>
    </row>
    <row r="33" customFormat="false" ht="27.75" hidden="false" customHeight="true" outlineLevel="0" collapsed="false">
      <c r="B33" s="5" t="s">
        <v>830</v>
      </c>
      <c r="C33" s="5"/>
      <c r="D33" s="5" t="s">
        <v>690</v>
      </c>
      <c r="E33" s="5" t="s">
        <v>831</v>
      </c>
      <c r="F33" s="6" t="s">
        <v>626</v>
      </c>
      <c r="G33" s="5" t="s">
        <v>627</v>
      </c>
      <c r="H33" s="5" t="s">
        <v>160</v>
      </c>
      <c r="I33" s="5" t="s">
        <v>780</v>
      </c>
      <c r="J33" s="5" t="s">
        <v>832</v>
      </c>
      <c r="K33" s="5" t="s">
        <v>833</v>
      </c>
      <c r="L33" s="6" t="s">
        <v>834</v>
      </c>
      <c r="M33" s="5" t="s">
        <v>76</v>
      </c>
      <c r="N33" s="5"/>
    </row>
    <row r="34" customFormat="false" ht="27.75" hidden="false" customHeight="true" outlineLevel="0" collapsed="false">
      <c r="B34" s="6" t="s">
        <v>835</v>
      </c>
      <c r="C34" s="5"/>
      <c r="D34" s="5" t="s">
        <v>772</v>
      </c>
      <c r="E34" s="6" t="s">
        <v>836</v>
      </c>
      <c r="F34" s="6" t="s">
        <v>626</v>
      </c>
      <c r="G34" s="5" t="s">
        <v>627</v>
      </c>
      <c r="H34" s="5" t="s">
        <v>160</v>
      </c>
      <c r="I34" s="5" t="s">
        <v>780</v>
      </c>
      <c r="J34" s="5" t="s">
        <v>675</v>
      </c>
      <c r="K34" s="6" t="s">
        <v>837</v>
      </c>
      <c r="L34" s="6" t="s">
        <v>838</v>
      </c>
      <c r="M34" s="5" t="s">
        <v>76</v>
      </c>
      <c r="N34" s="5" t="s">
        <v>776</v>
      </c>
    </row>
    <row r="35" customFormat="false" ht="27.75" hidden="false" customHeight="true" outlineLevel="0" collapsed="false">
      <c r="B35" s="6" t="s">
        <v>839</v>
      </c>
      <c r="C35" s="5"/>
      <c r="D35" s="5" t="s">
        <v>840</v>
      </c>
      <c r="E35" s="6" t="s">
        <v>841</v>
      </c>
      <c r="F35" s="6" t="s">
        <v>626</v>
      </c>
      <c r="G35" s="5" t="s">
        <v>627</v>
      </c>
      <c r="H35" s="5" t="s">
        <v>160</v>
      </c>
      <c r="I35" s="5" t="s">
        <v>780</v>
      </c>
      <c r="J35" s="5" t="s">
        <v>675</v>
      </c>
      <c r="K35" s="5" t="s">
        <v>842</v>
      </c>
      <c r="L35" s="6" t="s">
        <v>843</v>
      </c>
      <c r="M35" s="5" t="s">
        <v>76</v>
      </c>
      <c r="N35" s="5" t="s">
        <v>776</v>
      </c>
    </row>
    <row r="36" customFormat="false" ht="27.75" hidden="false" customHeight="true" outlineLevel="0" collapsed="false">
      <c r="B36" s="6" t="s">
        <v>844</v>
      </c>
      <c r="C36" s="5"/>
      <c r="D36" s="5" t="s">
        <v>840</v>
      </c>
      <c r="E36" s="6" t="s">
        <v>845</v>
      </c>
      <c r="F36" s="6" t="s">
        <v>626</v>
      </c>
      <c r="G36" s="5" t="s">
        <v>627</v>
      </c>
      <c r="H36" s="5" t="s">
        <v>160</v>
      </c>
      <c r="I36" s="5" t="s">
        <v>780</v>
      </c>
      <c r="J36" s="5" t="s">
        <v>675</v>
      </c>
      <c r="K36" s="5" t="s">
        <v>846</v>
      </c>
      <c r="L36" s="6" t="s">
        <v>843</v>
      </c>
      <c r="M36" s="5" t="s">
        <v>76</v>
      </c>
      <c r="N36" s="5" t="s">
        <v>776</v>
      </c>
    </row>
  </sheetData>
  <autoFilter ref="B5:N36"/>
  <mergeCells count="1">
    <mergeCell ref="B2:N2"/>
  </mergeCells>
  <conditionalFormatting sqref="B6:Z36">
    <cfRule type="expression" priority="2" aboveAverage="0" equalAverage="0" bottom="0" percent="0" rank="0" text="" dxfId="7">
      <formula>$M6="Confirmed from notes"</formula>
    </cfRule>
    <cfRule type="expression" priority="3" aboveAverage="0" equalAverage="0" bottom="0" percent="0" rank="0" text="" dxfId="8">
      <formula>$M6="Inferred / likely"</formula>
    </cfRule>
    <cfRule type="expression" priority="4" aboveAverage="0" equalAverage="0" bottom="0" percent="0" rank="0" text="" dxfId="8">
      <formula>$M6="Verify in cabinet"</formula>
    </cfRule>
    <cfRule type="expression" priority="5" aboveAverage="0" equalAverage="0" bottom="0" percent="0" rank="0" text="" dxfId="8">
      <formula>$M6="Measure before buying"</formula>
    </cfRule>
    <cfRule type="expression" priority="6" aboveAverage="0" equalAverage="0" bottom="0" percent="0" rank="0" text="" dxfId="9">
      <formula>$M6="Optional"</formula>
    </cfRule>
  </conditionalFormatting>
  <dataValidations count="3">
    <dataValidation allowBlank="true" errorStyle="stop" operator="between" showDropDown="false" showErrorMessage="false" showInputMessage="false" sqref="G6:G36" type="list">
      <formula1>"IN,OUT,ANALOG OUT,ENCODER IN,POWER,LOGIC,MECHANICAL,USB,TBD"</formula1>
      <formula2>0</formula2>
    </dataValidation>
    <dataValidation allowBlank="true" errorStyle="stop" operator="between" showDropDown="false" showErrorMessage="false" showInputMessage="false" sqref="H6:H36" type="list">
      <formula1>"6i25,7i77,7i84,7i85/7i85S,LinuxCNC USB,Existing Mazak,HR-11F-24,DIN rail / panel,TBD"</formula1>
      <formula2>0</formula2>
    </dataValidation>
    <dataValidation allowBlank="true" errorStyle="stop" operator="between" showDropDown="false" showErrorMessage="false" showInputMessage="false" sqref="M6:M36" type="list">
      <formula1>"Confirmed from notes,Inferred / likely,Verify in cabinet,Measure before buying,Optional,TBD"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3" min="3" style="1" width="14.7"/>
    <col collapsed="false" customWidth="true" hidden="false" outlineLevel="0" max="4" min="4" style="1" width="21"/>
    <col collapsed="false" customWidth="true" hidden="false" outlineLevel="0" max="5" min="5" style="1" width="42"/>
    <col collapsed="false" customWidth="true" hidden="false" outlineLevel="0" max="6" min="6" style="1" width="39"/>
    <col collapsed="false" customWidth="true" hidden="false" outlineLevel="0" max="7" min="7" style="1" width="13.8"/>
    <col collapsed="false" customWidth="true" hidden="false" outlineLevel="0" max="9" min="8" style="1" width="18.29"/>
    <col collapsed="false" customWidth="true" hidden="false" outlineLevel="0" max="11" min="10" style="1" width="42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911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27.75" hidden="false" customHeight="true" outlineLevel="0" collapsed="false">
      <c r="B3" s="3" t="s">
        <v>912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913</v>
      </c>
      <c r="C5" s="4" t="s">
        <v>355</v>
      </c>
      <c r="D5" s="4" t="s">
        <v>914</v>
      </c>
      <c r="E5" s="4" t="s">
        <v>915</v>
      </c>
      <c r="F5" s="4" t="s">
        <v>916</v>
      </c>
      <c r="G5" s="4" t="s">
        <v>423</v>
      </c>
      <c r="H5" s="4" t="s">
        <v>426</v>
      </c>
      <c r="I5" s="4" t="s">
        <v>44</v>
      </c>
      <c r="J5" s="4" t="s">
        <v>917</v>
      </c>
      <c r="K5" s="4" t="s">
        <v>45</v>
      </c>
    </row>
    <row r="6" customFormat="false" ht="27.75" hidden="false" customHeight="true" outlineLevel="0" collapsed="false">
      <c r="B6" s="5" t="s">
        <v>460</v>
      </c>
      <c r="C6" s="5" t="s">
        <v>363</v>
      </c>
      <c r="D6" s="5" t="s">
        <v>918</v>
      </c>
      <c r="E6" s="6" t="s">
        <v>919</v>
      </c>
      <c r="F6" s="6" t="s">
        <v>920</v>
      </c>
      <c r="G6" s="5" t="s">
        <v>131</v>
      </c>
      <c r="H6" s="5" t="s">
        <v>461</v>
      </c>
      <c r="I6" s="6" t="s">
        <v>396</v>
      </c>
      <c r="J6" s="6" t="s">
        <v>921</v>
      </c>
      <c r="K6" s="6" t="s">
        <v>922</v>
      </c>
    </row>
    <row r="7" customFormat="false" ht="27.75" hidden="false" customHeight="true" outlineLevel="0" collapsed="false">
      <c r="B7" s="5" t="s">
        <v>466</v>
      </c>
      <c r="C7" s="5" t="s">
        <v>373</v>
      </c>
      <c r="D7" s="5" t="s">
        <v>918</v>
      </c>
      <c r="E7" s="6" t="s">
        <v>923</v>
      </c>
      <c r="F7" s="6" t="s">
        <v>924</v>
      </c>
      <c r="G7" s="5" t="s">
        <v>131</v>
      </c>
      <c r="H7" s="5" t="s">
        <v>467</v>
      </c>
      <c r="I7" s="6" t="s">
        <v>396</v>
      </c>
      <c r="J7" s="5" t="s">
        <v>925</v>
      </c>
      <c r="K7" s="5"/>
    </row>
    <row r="8" customFormat="false" ht="27.75" hidden="false" customHeight="true" outlineLevel="0" collapsed="false">
      <c r="B8" s="5" t="s">
        <v>471</v>
      </c>
      <c r="C8" s="5" t="s">
        <v>381</v>
      </c>
      <c r="D8" s="5" t="s">
        <v>918</v>
      </c>
      <c r="E8" s="6" t="s">
        <v>923</v>
      </c>
      <c r="F8" s="6" t="s">
        <v>926</v>
      </c>
      <c r="G8" s="5" t="s">
        <v>131</v>
      </c>
      <c r="H8" s="5" t="s">
        <v>472</v>
      </c>
      <c r="I8" s="6" t="s">
        <v>396</v>
      </c>
      <c r="J8" s="6" t="s">
        <v>927</v>
      </c>
      <c r="K8" s="5"/>
    </row>
    <row r="9" customFormat="false" ht="27.75" hidden="false" customHeight="true" outlineLevel="0" collapsed="false">
      <c r="B9" s="5" t="s">
        <v>477</v>
      </c>
      <c r="C9" s="5" t="s">
        <v>388</v>
      </c>
      <c r="D9" s="6" t="s">
        <v>928</v>
      </c>
      <c r="E9" s="6" t="s">
        <v>929</v>
      </c>
      <c r="F9" s="6" t="s">
        <v>930</v>
      </c>
      <c r="G9" s="5" t="s">
        <v>131</v>
      </c>
      <c r="H9" s="5" t="s">
        <v>478</v>
      </c>
      <c r="I9" s="6" t="s">
        <v>396</v>
      </c>
      <c r="J9" s="6" t="s">
        <v>931</v>
      </c>
      <c r="K9" s="6" t="s">
        <v>932</v>
      </c>
    </row>
    <row r="10" customFormat="false" ht="27.75" hidden="false" customHeight="true" outlineLevel="0" collapsed="false">
      <c r="B10" s="5" t="s">
        <v>933</v>
      </c>
      <c r="C10" s="5" t="s">
        <v>934</v>
      </c>
      <c r="D10" s="5" t="s">
        <v>918</v>
      </c>
      <c r="E10" s="5" t="s">
        <v>199</v>
      </c>
      <c r="F10" s="6" t="s">
        <v>935</v>
      </c>
      <c r="G10" s="5" t="s">
        <v>936</v>
      </c>
      <c r="H10" s="5" t="s">
        <v>937</v>
      </c>
      <c r="I10" s="5" t="s">
        <v>76</v>
      </c>
      <c r="J10" s="5" t="s">
        <v>199</v>
      </c>
      <c r="K10" s="6" t="s">
        <v>938</v>
      </c>
    </row>
    <row r="11" customFormat="false" ht="27.75" hidden="false" customHeight="true" outlineLevel="0" collapsed="false">
      <c r="B11" s="5" t="s">
        <v>939</v>
      </c>
      <c r="C11" s="5" t="s">
        <v>934</v>
      </c>
      <c r="D11" s="5" t="s">
        <v>918</v>
      </c>
      <c r="E11" s="5" t="s">
        <v>199</v>
      </c>
      <c r="F11" s="6" t="s">
        <v>940</v>
      </c>
      <c r="G11" s="5" t="s">
        <v>936</v>
      </c>
      <c r="H11" s="5" t="s">
        <v>941</v>
      </c>
      <c r="I11" s="5" t="s">
        <v>76</v>
      </c>
      <c r="J11" s="5" t="s">
        <v>199</v>
      </c>
      <c r="K11" s="5"/>
    </row>
    <row r="12" customFormat="false" ht="27.75" hidden="false" customHeight="true" outlineLevel="0" collapsed="false">
      <c r="B12" s="5" t="s">
        <v>434</v>
      </c>
      <c r="C12" s="5" t="s">
        <v>363</v>
      </c>
      <c r="D12" s="5" t="s">
        <v>942</v>
      </c>
      <c r="E12" s="6" t="s">
        <v>943</v>
      </c>
      <c r="F12" s="6" t="s">
        <v>944</v>
      </c>
      <c r="G12" s="5" t="s">
        <v>131</v>
      </c>
      <c r="H12" s="5" t="s">
        <v>435</v>
      </c>
      <c r="I12" s="6" t="s">
        <v>371</v>
      </c>
      <c r="J12" s="6" t="s">
        <v>945</v>
      </c>
      <c r="K12" s="6" t="s">
        <v>946</v>
      </c>
    </row>
    <row r="13" customFormat="false" ht="27.75" hidden="false" customHeight="true" outlineLevel="0" collapsed="false">
      <c r="B13" s="5" t="s">
        <v>440</v>
      </c>
      <c r="C13" s="5" t="s">
        <v>373</v>
      </c>
      <c r="D13" s="5" t="s">
        <v>942</v>
      </c>
      <c r="E13" s="6" t="s">
        <v>943</v>
      </c>
      <c r="F13" s="6" t="s">
        <v>947</v>
      </c>
      <c r="G13" s="5" t="s">
        <v>131</v>
      </c>
      <c r="H13" s="5" t="s">
        <v>441</v>
      </c>
      <c r="I13" s="6" t="s">
        <v>371</v>
      </c>
      <c r="J13" s="5" t="s">
        <v>925</v>
      </c>
      <c r="K13" s="5"/>
    </row>
    <row r="14" customFormat="false" ht="27.75" hidden="false" customHeight="true" outlineLevel="0" collapsed="false">
      <c r="B14" s="5" t="s">
        <v>445</v>
      </c>
      <c r="C14" s="5" t="s">
        <v>381</v>
      </c>
      <c r="D14" s="5" t="s">
        <v>942</v>
      </c>
      <c r="E14" s="6" t="s">
        <v>943</v>
      </c>
      <c r="F14" s="6" t="s">
        <v>948</v>
      </c>
      <c r="G14" s="5" t="s">
        <v>131</v>
      </c>
      <c r="H14" s="5" t="s">
        <v>446</v>
      </c>
      <c r="I14" s="6" t="s">
        <v>371</v>
      </c>
      <c r="J14" s="6" t="s">
        <v>949</v>
      </c>
      <c r="K14" s="5"/>
    </row>
    <row r="15" customFormat="false" ht="27.75" hidden="false" customHeight="true" outlineLevel="0" collapsed="false">
      <c r="B15" s="5" t="s">
        <v>451</v>
      </c>
      <c r="C15" s="5" t="s">
        <v>388</v>
      </c>
      <c r="D15" s="5" t="s">
        <v>942</v>
      </c>
      <c r="E15" s="6" t="s">
        <v>950</v>
      </c>
      <c r="F15" s="6" t="s">
        <v>951</v>
      </c>
      <c r="G15" s="5" t="s">
        <v>131</v>
      </c>
      <c r="H15" s="6" t="s">
        <v>452</v>
      </c>
      <c r="I15" s="6" t="s">
        <v>396</v>
      </c>
      <c r="J15" s="6" t="s">
        <v>952</v>
      </c>
      <c r="K15" s="6" t="s">
        <v>953</v>
      </c>
    </row>
    <row r="16" customFormat="false" ht="27.75" hidden="false" customHeight="true" outlineLevel="0" collapsed="false">
      <c r="B16" s="5" t="s">
        <v>954</v>
      </c>
      <c r="C16" s="5" t="s">
        <v>934</v>
      </c>
      <c r="D16" s="5" t="s">
        <v>942</v>
      </c>
      <c r="E16" s="5" t="s">
        <v>431</v>
      </c>
      <c r="F16" s="6" t="s">
        <v>955</v>
      </c>
      <c r="G16" s="5" t="s">
        <v>131</v>
      </c>
      <c r="H16" s="5" t="s">
        <v>956</v>
      </c>
      <c r="I16" s="5" t="s">
        <v>76</v>
      </c>
      <c r="J16" s="5" t="s">
        <v>237</v>
      </c>
      <c r="K16" s="5"/>
    </row>
    <row r="17" customFormat="false" ht="27.75" hidden="false" customHeight="true" outlineLevel="0" collapsed="false">
      <c r="B17" s="5" t="s">
        <v>957</v>
      </c>
      <c r="C17" s="5" t="s">
        <v>934</v>
      </c>
      <c r="D17" s="5" t="s">
        <v>942</v>
      </c>
      <c r="E17" s="5" t="s">
        <v>431</v>
      </c>
      <c r="F17" s="5" t="s">
        <v>958</v>
      </c>
      <c r="G17" s="5" t="s">
        <v>131</v>
      </c>
      <c r="H17" s="5" t="s">
        <v>959</v>
      </c>
      <c r="I17" s="5" t="s">
        <v>76</v>
      </c>
      <c r="J17" s="5" t="s">
        <v>237</v>
      </c>
      <c r="K17" s="5"/>
    </row>
  </sheetData>
  <autoFilter ref="B5:K17"/>
  <mergeCells count="1">
    <mergeCell ref="B2:K2"/>
  </mergeCells>
  <conditionalFormatting sqref="B6:Z17">
    <cfRule type="expression" priority="2" aboveAverage="0" equalAverage="0" bottom="0" percent="0" rank="0" text="" dxfId="7">
      <formula>$I6="Confirmed from notes"</formula>
    </cfRule>
    <cfRule type="expression" priority="3" aboveAverage="0" equalAverage="0" bottom="0" percent="0" rank="0" text="" dxfId="8">
      <formula>$I6="Inferred / likely"</formula>
    </cfRule>
    <cfRule type="expression" priority="4" aboveAverage="0" equalAverage="0" bottom="0" percent="0" rank="0" text="" dxfId="8">
      <formula>$I6="Verify in cabinet"</formula>
    </cfRule>
    <cfRule type="expression" priority="5" aboveAverage="0" equalAverage="0" bottom="0" percent="0" rank="0" text="" dxfId="8">
      <formula>$I6="Measure before buying"</formula>
    </cfRule>
    <cfRule type="expression" priority="6" aboveAverage="0" equalAverage="0" bottom="0" percent="0" rank="0" text="" dxfId="9">
      <formula>$I6="Optional"</formula>
    </cfRule>
  </conditionalFormatting>
  <dataValidations count="1">
    <dataValidation allowBlank="true" errorStyle="stop" operator="between" showDropDown="false" showErrorMessage="false" showInputMessage="false" sqref="I6:I17" type="list">
      <formula1>"Confirmed from notes,Inferred / likely,Verify in cabinet,Measure before buying,Optional,TBD"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21"/>
    <col collapsed="false" customWidth="true" hidden="false" outlineLevel="0" max="4" min="4" style="1" width="43.52"/>
    <col collapsed="false" customWidth="true" hidden="false" outlineLevel="0" max="5" min="5" style="1" width="23.7"/>
    <col collapsed="false" customWidth="true" hidden="false" outlineLevel="0" max="6" min="6" style="1" width="29.1"/>
    <col collapsed="false" customWidth="true" hidden="false" outlineLevel="0" max="7" min="7" style="1" width="39"/>
    <col collapsed="false" customWidth="true" hidden="false" outlineLevel="0" max="8" min="8" style="1" width="33.6"/>
    <col collapsed="false" customWidth="true" hidden="false" outlineLevel="0" max="9" min="9" style="1" width="21"/>
    <col collapsed="false" customWidth="true" hidden="false" outlineLevel="0" max="10" min="10" style="1" width="44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960</v>
      </c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B3" s="3" t="s">
        <v>961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962</v>
      </c>
      <c r="C5" s="4" t="s">
        <v>963</v>
      </c>
      <c r="D5" s="4" t="s">
        <v>420</v>
      </c>
      <c r="E5" s="4" t="s">
        <v>964</v>
      </c>
      <c r="F5" s="4" t="s">
        <v>965</v>
      </c>
      <c r="G5" s="4" t="s">
        <v>966</v>
      </c>
      <c r="H5" s="4" t="s">
        <v>967</v>
      </c>
      <c r="I5" s="4" t="s">
        <v>44</v>
      </c>
      <c r="J5" s="4" t="s">
        <v>45</v>
      </c>
    </row>
    <row r="6" customFormat="false" ht="27.75" hidden="false" customHeight="true" outlineLevel="0" collapsed="false">
      <c r="B6" s="5" t="s">
        <v>868</v>
      </c>
      <c r="C6" s="5" t="s">
        <v>968</v>
      </c>
      <c r="D6" s="6" t="s">
        <v>969</v>
      </c>
      <c r="E6" s="5" t="s">
        <v>970</v>
      </c>
      <c r="F6" s="6" t="s">
        <v>971</v>
      </c>
      <c r="G6" s="6" t="s">
        <v>972</v>
      </c>
      <c r="H6" s="6" t="s">
        <v>973</v>
      </c>
      <c r="I6" s="6" t="s">
        <v>396</v>
      </c>
      <c r="J6" s="6" t="s">
        <v>974</v>
      </c>
    </row>
    <row r="7" customFormat="false" ht="27.75" hidden="false" customHeight="true" outlineLevel="0" collapsed="false">
      <c r="B7" s="5" t="s">
        <v>975</v>
      </c>
      <c r="C7" s="5" t="s">
        <v>968</v>
      </c>
      <c r="D7" s="6" t="s">
        <v>976</v>
      </c>
      <c r="E7" s="5" t="s">
        <v>977</v>
      </c>
      <c r="F7" s="5" t="s">
        <v>871</v>
      </c>
      <c r="G7" s="6" t="s">
        <v>978</v>
      </c>
      <c r="H7" s="6" t="s">
        <v>979</v>
      </c>
      <c r="I7" s="6" t="s">
        <v>406</v>
      </c>
      <c r="J7" s="6" t="s">
        <v>980</v>
      </c>
    </row>
    <row r="8" customFormat="false" ht="27.75" hidden="false" customHeight="true" outlineLevel="0" collapsed="false">
      <c r="B8" s="5" t="s">
        <v>981</v>
      </c>
      <c r="C8" s="5" t="s">
        <v>968</v>
      </c>
      <c r="D8" s="6" t="s">
        <v>982</v>
      </c>
      <c r="E8" s="5" t="s">
        <v>983</v>
      </c>
      <c r="F8" s="5" t="s">
        <v>871</v>
      </c>
      <c r="G8" s="6" t="s">
        <v>984</v>
      </c>
      <c r="H8" s="6" t="s">
        <v>985</v>
      </c>
      <c r="I8" s="6" t="s">
        <v>406</v>
      </c>
      <c r="J8" s="6" t="s">
        <v>986</v>
      </c>
    </row>
    <row r="9" customFormat="false" ht="27.75" hidden="false" customHeight="true" outlineLevel="0" collapsed="false">
      <c r="B9" s="5" t="s">
        <v>875</v>
      </c>
      <c r="C9" s="5" t="s">
        <v>968</v>
      </c>
      <c r="D9" s="6" t="s">
        <v>987</v>
      </c>
      <c r="E9" s="5" t="s">
        <v>988</v>
      </c>
      <c r="F9" s="6" t="s">
        <v>971</v>
      </c>
      <c r="G9" s="6" t="s">
        <v>989</v>
      </c>
      <c r="H9" s="6" t="s">
        <v>973</v>
      </c>
      <c r="I9" s="6" t="s">
        <v>396</v>
      </c>
      <c r="J9" s="5"/>
    </row>
    <row r="10" customFormat="false" ht="27.75" hidden="false" customHeight="true" outlineLevel="0" collapsed="false">
      <c r="B10" s="5" t="s">
        <v>990</v>
      </c>
      <c r="C10" s="5" t="s">
        <v>968</v>
      </c>
      <c r="D10" s="6" t="s">
        <v>991</v>
      </c>
      <c r="E10" s="6" t="s">
        <v>992</v>
      </c>
      <c r="F10" s="6" t="s">
        <v>993</v>
      </c>
      <c r="G10" s="5" t="s">
        <v>994</v>
      </c>
      <c r="H10" s="6" t="s">
        <v>995</v>
      </c>
      <c r="I10" s="6" t="s">
        <v>396</v>
      </c>
      <c r="J10" s="6" t="s">
        <v>996</v>
      </c>
    </row>
    <row r="11" customFormat="false" ht="27.75" hidden="false" customHeight="true" outlineLevel="0" collapsed="false">
      <c r="B11" s="5" t="s">
        <v>997</v>
      </c>
      <c r="C11" s="5" t="s">
        <v>968</v>
      </c>
      <c r="D11" s="6" t="s">
        <v>998</v>
      </c>
      <c r="E11" s="6" t="s">
        <v>992</v>
      </c>
      <c r="F11" s="6" t="s">
        <v>993</v>
      </c>
      <c r="G11" s="5" t="s">
        <v>994</v>
      </c>
      <c r="H11" s="6" t="s">
        <v>995</v>
      </c>
      <c r="I11" s="6" t="s">
        <v>396</v>
      </c>
      <c r="J11" s="5"/>
    </row>
    <row r="12" customFormat="false" ht="27.75" hidden="false" customHeight="true" outlineLevel="0" collapsed="false">
      <c r="B12" s="5" t="s">
        <v>885</v>
      </c>
      <c r="C12" s="5" t="s">
        <v>968</v>
      </c>
      <c r="D12" s="5" t="s">
        <v>999</v>
      </c>
      <c r="E12" s="6" t="s">
        <v>1000</v>
      </c>
      <c r="F12" s="5" t="s">
        <v>1001</v>
      </c>
      <c r="G12" s="5" t="s">
        <v>889</v>
      </c>
      <c r="H12" s="5" t="s">
        <v>1002</v>
      </c>
      <c r="I12" s="6" t="s">
        <v>406</v>
      </c>
      <c r="J12" s="5"/>
    </row>
    <row r="13" customFormat="false" ht="27.75" hidden="false" customHeight="true" outlineLevel="0" collapsed="false">
      <c r="B13" s="5" t="s">
        <v>1003</v>
      </c>
      <c r="C13" s="5" t="s">
        <v>968</v>
      </c>
      <c r="D13" s="5" t="s">
        <v>1004</v>
      </c>
      <c r="E13" s="5" t="s">
        <v>1005</v>
      </c>
      <c r="F13" s="6" t="s">
        <v>896</v>
      </c>
      <c r="G13" s="5" t="s">
        <v>1006</v>
      </c>
      <c r="H13" s="6" t="s">
        <v>1007</v>
      </c>
      <c r="I13" s="6" t="s">
        <v>406</v>
      </c>
      <c r="J13" s="5"/>
    </row>
    <row r="14" customFormat="false" ht="27.75" hidden="false" customHeight="true" outlineLevel="0" collapsed="false">
      <c r="B14" s="5" t="s">
        <v>1008</v>
      </c>
      <c r="C14" s="5" t="s">
        <v>968</v>
      </c>
      <c r="D14" s="6" t="s">
        <v>1009</v>
      </c>
      <c r="E14" s="6" t="s">
        <v>1010</v>
      </c>
      <c r="F14" s="6" t="s">
        <v>896</v>
      </c>
      <c r="G14" s="5" t="s">
        <v>1006</v>
      </c>
      <c r="H14" s="6" t="s">
        <v>1011</v>
      </c>
      <c r="I14" s="6" t="s">
        <v>406</v>
      </c>
      <c r="J14" s="5"/>
    </row>
    <row r="15" customFormat="false" ht="27.75" hidden="false" customHeight="true" outlineLevel="0" collapsed="false">
      <c r="B15" s="5" t="s">
        <v>1012</v>
      </c>
      <c r="C15" s="6" t="s">
        <v>1013</v>
      </c>
      <c r="D15" s="6" t="s">
        <v>1014</v>
      </c>
      <c r="E15" s="5" t="s">
        <v>977</v>
      </c>
      <c r="F15" s="6" t="s">
        <v>1015</v>
      </c>
      <c r="G15" s="6" t="s">
        <v>1016</v>
      </c>
      <c r="H15" s="6" t="s">
        <v>1017</v>
      </c>
      <c r="I15" s="6" t="s">
        <v>406</v>
      </c>
      <c r="J15" s="6" t="s">
        <v>1018</v>
      </c>
    </row>
    <row r="16" customFormat="false" ht="27.75" hidden="false" customHeight="true" outlineLevel="0" collapsed="false">
      <c r="B16" s="5" t="s">
        <v>1019</v>
      </c>
      <c r="C16" s="6" t="s">
        <v>1013</v>
      </c>
      <c r="D16" s="6" t="s">
        <v>1020</v>
      </c>
      <c r="E16" s="5" t="s">
        <v>862</v>
      </c>
      <c r="F16" s="6" t="s">
        <v>1021</v>
      </c>
      <c r="G16" s="6" t="s">
        <v>1022</v>
      </c>
      <c r="H16" s="6" t="s">
        <v>1023</v>
      </c>
      <c r="I16" s="6" t="s">
        <v>406</v>
      </c>
      <c r="J16" s="5"/>
    </row>
    <row r="17" customFormat="false" ht="27.75" hidden="false" customHeight="true" outlineLevel="0" collapsed="false">
      <c r="B17" s="5" t="s">
        <v>1024</v>
      </c>
      <c r="C17" s="6" t="s">
        <v>1013</v>
      </c>
      <c r="D17" s="6" t="s">
        <v>1025</v>
      </c>
      <c r="E17" s="5" t="s">
        <v>1026</v>
      </c>
      <c r="F17" s="6" t="s">
        <v>1027</v>
      </c>
      <c r="G17" s="6" t="s">
        <v>1028</v>
      </c>
      <c r="H17" s="6" t="s">
        <v>1029</v>
      </c>
      <c r="I17" s="6" t="s">
        <v>396</v>
      </c>
      <c r="J17" s="6" t="s">
        <v>1030</v>
      </c>
    </row>
    <row r="18" customFormat="false" ht="27.75" hidden="false" customHeight="true" outlineLevel="0" collapsed="false">
      <c r="B18" s="5" t="s">
        <v>1031</v>
      </c>
      <c r="C18" s="6" t="s">
        <v>1013</v>
      </c>
      <c r="D18" s="6" t="s">
        <v>1032</v>
      </c>
      <c r="E18" s="5" t="s">
        <v>199</v>
      </c>
      <c r="F18" s="6" t="s">
        <v>1033</v>
      </c>
      <c r="G18" s="5" t="s">
        <v>1034</v>
      </c>
      <c r="H18" s="6" t="s">
        <v>1029</v>
      </c>
      <c r="I18" s="6" t="s">
        <v>396</v>
      </c>
      <c r="J18" s="6" t="s">
        <v>1035</v>
      </c>
    </row>
    <row r="19" customFormat="false" ht="27.75" hidden="false" customHeight="true" outlineLevel="0" collapsed="false">
      <c r="B19" s="5" t="s">
        <v>1036</v>
      </c>
      <c r="C19" s="6" t="s">
        <v>1013</v>
      </c>
      <c r="D19" s="6" t="s">
        <v>1032</v>
      </c>
      <c r="E19" s="5" t="s">
        <v>199</v>
      </c>
      <c r="F19" s="6" t="s">
        <v>1033</v>
      </c>
      <c r="G19" s="5" t="s">
        <v>1034</v>
      </c>
      <c r="H19" s="6" t="s">
        <v>1029</v>
      </c>
      <c r="I19" s="6" t="s">
        <v>396</v>
      </c>
      <c r="J19" s="5"/>
    </row>
  </sheetData>
  <autoFilter ref="B5:J19"/>
  <mergeCells count="1">
    <mergeCell ref="B2:J2"/>
  </mergeCells>
  <conditionalFormatting sqref="B6:Z19">
    <cfRule type="expression" priority="2" aboveAverage="0" equalAverage="0" bottom="0" percent="0" rank="0" text="" dxfId="7">
      <formula>$I6="Confirmed from notes"</formula>
    </cfRule>
    <cfRule type="expression" priority="3" aboveAverage="0" equalAverage="0" bottom="0" percent="0" rank="0" text="" dxfId="8">
      <formula>$I6="Inferred / likely"</formula>
    </cfRule>
    <cfRule type="expression" priority="4" aboveAverage="0" equalAverage="0" bottom="0" percent="0" rank="0" text="" dxfId="8">
      <formula>$I6="Verify in cabinet"</formula>
    </cfRule>
    <cfRule type="expression" priority="5" aboveAverage="0" equalAverage="0" bottom="0" percent="0" rank="0" text="" dxfId="8">
      <formula>$I6="Measure before buying"</formula>
    </cfRule>
    <cfRule type="expression" priority="6" aboveAverage="0" equalAverage="0" bottom="0" percent="0" rank="0" text="" dxfId="9">
      <formula>$I6="Optional"</formula>
    </cfRule>
  </conditionalFormatting>
  <dataValidations count="1">
    <dataValidation allowBlank="true" errorStyle="stop" operator="between" showDropDown="false" showErrorMessage="false" showInputMessage="false" sqref="I6:I19" type="list">
      <formula1>"Confirmed from notes,Inferred / likely,Verify in cabinet,Measure before buying,Optional,TBD"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42"/>
    <col collapsed="false" customWidth="true" hidden="false" outlineLevel="0" max="4" min="4" style="1" width="15.6"/>
    <col collapsed="false" customWidth="true" hidden="false" outlineLevel="0" max="5" min="5" style="1" width="22.8"/>
    <col collapsed="false" customWidth="true" hidden="false" outlineLevel="0" max="7" min="6" style="1" width="42"/>
    <col collapsed="false" customWidth="true" hidden="false" outlineLevel="0" max="8" min="8" style="1" width="41.7"/>
    <col collapsed="false" customWidth="true" hidden="false" outlineLevel="0" max="9" min="9" style="1" width="21.9"/>
    <col collapsed="false" customWidth="true" hidden="false" outlineLevel="0" max="10" min="10" style="1" width="42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1037</v>
      </c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B3" s="3" t="s">
        <v>1038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1039</v>
      </c>
      <c r="C5" s="4" t="s">
        <v>1040</v>
      </c>
      <c r="D5" s="4" t="s">
        <v>1041</v>
      </c>
      <c r="E5" s="4" t="s">
        <v>1042</v>
      </c>
      <c r="F5" s="4" t="s">
        <v>1043</v>
      </c>
      <c r="G5" s="4" t="s">
        <v>1044</v>
      </c>
      <c r="H5" s="4" t="s">
        <v>1045</v>
      </c>
      <c r="I5" s="4" t="s">
        <v>44</v>
      </c>
      <c r="J5" s="4" t="s">
        <v>45</v>
      </c>
    </row>
    <row r="6" customFormat="false" ht="27.75" hidden="false" customHeight="true" outlineLevel="0" collapsed="false">
      <c r="B6" s="5" t="s">
        <v>1046</v>
      </c>
      <c r="C6" s="6" t="s">
        <v>1047</v>
      </c>
      <c r="D6" s="5" t="n">
        <v>1</v>
      </c>
      <c r="E6" s="6" t="s">
        <v>1048</v>
      </c>
      <c r="F6" s="6" t="s">
        <v>1049</v>
      </c>
      <c r="G6" s="6" t="s">
        <v>1050</v>
      </c>
      <c r="H6" s="6" t="s">
        <v>1051</v>
      </c>
      <c r="I6" s="6" t="s">
        <v>1052</v>
      </c>
      <c r="J6" s="6" t="s">
        <v>1053</v>
      </c>
    </row>
    <row r="7" customFormat="false" ht="27.75" hidden="false" customHeight="true" outlineLevel="0" collapsed="false">
      <c r="B7" s="5" t="s">
        <v>1046</v>
      </c>
      <c r="C7" s="6" t="s">
        <v>1054</v>
      </c>
      <c r="D7" s="5" t="n">
        <v>1</v>
      </c>
      <c r="E7" s="6" t="s">
        <v>1048</v>
      </c>
      <c r="F7" s="6" t="s">
        <v>1055</v>
      </c>
      <c r="G7" s="6" t="s">
        <v>1056</v>
      </c>
      <c r="H7" s="6" t="s">
        <v>1057</v>
      </c>
      <c r="I7" s="6" t="s">
        <v>1052</v>
      </c>
      <c r="J7" s="6" t="s">
        <v>1058</v>
      </c>
    </row>
    <row r="8" customFormat="false" ht="27.75" hidden="false" customHeight="true" outlineLevel="0" collapsed="false">
      <c r="B8" s="5" t="s">
        <v>1059</v>
      </c>
      <c r="C8" s="6" t="s">
        <v>1060</v>
      </c>
      <c r="D8" s="5" t="n">
        <v>1</v>
      </c>
      <c r="E8" s="6" t="s">
        <v>1048</v>
      </c>
      <c r="F8" s="6" t="s">
        <v>1061</v>
      </c>
      <c r="G8" s="6" t="s">
        <v>1062</v>
      </c>
      <c r="H8" s="6" t="s">
        <v>1063</v>
      </c>
      <c r="I8" s="6" t="s">
        <v>1052</v>
      </c>
      <c r="J8" s="6" t="s">
        <v>1064</v>
      </c>
    </row>
    <row r="9" customFormat="false" ht="27.75" hidden="false" customHeight="true" outlineLevel="0" collapsed="false">
      <c r="B9" s="5" t="s">
        <v>71</v>
      </c>
      <c r="C9" s="6" t="s">
        <v>1065</v>
      </c>
      <c r="D9" s="5" t="n">
        <v>1</v>
      </c>
      <c r="E9" s="5" t="s">
        <v>76</v>
      </c>
      <c r="F9" s="6" t="s">
        <v>1066</v>
      </c>
      <c r="G9" s="6" t="s">
        <v>1067</v>
      </c>
      <c r="H9" s="6" t="s">
        <v>1068</v>
      </c>
      <c r="I9" s="5" t="s">
        <v>76</v>
      </c>
      <c r="J9" s="6" t="s">
        <v>1069</v>
      </c>
    </row>
    <row r="10" customFormat="false" ht="27.75" hidden="false" customHeight="true" outlineLevel="0" collapsed="false">
      <c r="B10" s="5" t="s">
        <v>78</v>
      </c>
      <c r="C10" s="6" t="s">
        <v>1070</v>
      </c>
      <c r="D10" s="5" t="n">
        <v>1</v>
      </c>
      <c r="E10" s="5" t="s">
        <v>76</v>
      </c>
      <c r="F10" s="6" t="s">
        <v>1071</v>
      </c>
      <c r="G10" s="6" t="s">
        <v>1072</v>
      </c>
      <c r="H10" s="6" t="s">
        <v>1073</v>
      </c>
      <c r="I10" s="5" t="s">
        <v>76</v>
      </c>
      <c r="J10" s="6" t="s">
        <v>1074</v>
      </c>
    </row>
    <row r="11" customFormat="false" ht="27.75" hidden="false" customHeight="true" outlineLevel="0" collapsed="false">
      <c r="B11" s="5" t="s">
        <v>849</v>
      </c>
      <c r="C11" s="6" t="s">
        <v>1075</v>
      </c>
      <c r="D11" s="5" t="n">
        <v>1</v>
      </c>
      <c r="E11" s="6" t="s">
        <v>1048</v>
      </c>
      <c r="F11" s="6" t="s">
        <v>1076</v>
      </c>
      <c r="G11" s="6" t="s">
        <v>1077</v>
      </c>
      <c r="H11" s="6" t="s">
        <v>1078</v>
      </c>
      <c r="I11" s="6" t="s">
        <v>396</v>
      </c>
      <c r="J11" s="6" t="s">
        <v>1079</v>
      </c>
    </row>
    <row r="12" customFormat="false" ht="27.75" hidden="false" customHeight="true" outlineLevel="0" collapsed="false">
      <c r="B12" s="6" t="s">
        <v>1080</v>
      </c>
      <c r="C12" s="6" t="s">
        <v>1081</v>
      </c>
      <c r="D12" s="5" t="s">
        <v>1082</v>
      </c>
      <c r="E12" s="6" t="s">
        <v>1048</v>
      </c>
      <c r="F12" s="6" t="s">
        <v>1083</v>
      </c>
      <c r="G12" s="6" t="s">
        <v>1084</v>
      </c>
      <c r="H12" s="6" t="s">
        <v>1085</v>
      </c>
      <c r="I12" s="6" t="s">
        <v>1086</v>
      </c>
      <c r="J12" s="6" t="s">
        <v>1087</v>
      </c>
    </row>
    <row r="13" customFormat="false" ht="27.75" hidden="false" customHeight="true" outlineLevel="0" collapsed="false">
      <c r="B13" s="5" t="s">
        <v>1088</v>
      </c>
      <c r="C13" s="6" t="s">
        <v>1089</v>
      </c>
      <c r="D13" s="5" t="s">
        <v>1090</v>
      </c>
      <c r="E13" s="6" t="s">
        <v>1048</v>
      </c>
      <c r="F13" s="6" t="s">
        <v>1091</v>
      </c>
      <c r="G13" s="6" t="s">
        <v>1092</v>
      </c>
      <c r="H13" s="6" t="s">
        <v>1093</v>
      </c>
      <c r="I13" s="6" t="s">
        <v>1086</v>
      </c>
      <c r="J13" s="6" t="s">
        <v>1094</v>
      </c>
    </row>
    <row r="14" customFormat="false" ht="27.75" hidden="false" customHeight="true" outlineLevel="0" collapsed="false">
      <c r="B14" s="5" t="s">
        <v>1095</v>
      </c>
      <c r="C14" s="6" t="s">
        <v>1096</v>
      </c>
      <c r="D14" s="5" t="s">
        <v>1097</v>
      </c>
      <c r="E14" s="6" t="s">
        <v>1048</v>
      </c>
      <c r="F14" s="6" t="s">
        <v>1098</v>
      </c>
      <c r="G14" s="6" t="s">
        <v>1099</v>
      </c>
      <c r="H14" s="6" t="s">
        <v>1100</v>
      </c>
      <c r="I14" s="6" t="s">
        <v>1086</v>
      </c>
      <c r="J14" s="6" t="s">
        <v>1101</v>
      </c>
    </row>
    <row r="15" customFormat="false" ht="27.75" hidden="false" customHeight="true" outlineLevel="0" collapsed="false">
      <c r="B15" s="5" t="s">
        <v>1095</v>
      </c>
      <c r="C15" s="6" t="s">
        <v>1102</v>
      </c>
      <c r="D15" s="5" t="s">
        <v>1090</v>
      </c>
      <c r="E15" s="5" t="s">
        <v>1103</v>
      </c>
      <c r="F15" s="6" t="s">
        <v>1104</v>
      </c>
      <c r="G15" s="6" t="s">
        <v>1105</v>
      </c>
      <c r="H15" s="6" t="s">
        <v>1106</v>
      </c>
      <c r="I15" s="6" t="s">
        <v>406</v>
      </c>
      <c r="J15" s="6" t="s">
        <v>1107</v>
      </c>
    </row>
    <row r="16" customFormat="false" ht="27.75" hidden="false" customHeight="true" outlineLevel="0" collapsed="false">
      <c r="B16" s="6" t="s">
        <v>1108</v>
      </c>
      <c r="C16" s="6" t="s">
        <v>1109</v>
      </c>
      <c r="D16" s="5" t="s">
        <v>199</v>
      </c>
      <c r="E16" s="6" t="s">
        <v>1048</v>
      </c>
      <c r="F16" s="6" t="s">
        <v>1110</v>
      </c>
      <c r="G16" s="6" t="s">
        <v>1111</v>
      </c>
      <c r="H16" s="6" t="s">
        <v>1112</v>
      </c>
      <c r="I16" s="6" t="s">
        <v>1086</v>
      </c>
      <c r="J16" s="6" t="s">
        <v>1113</v>
      </c>
    </row>
    <row r="17" customFormat="false" ht="27.75" hidden="false" customHeight="true" outlineLevel="0" collapsed="false">
      <c r="B17" s="5" t="s">
        <v>1114</v>
      </c>
      <c r="C17" s="6" t="s">
        <v>1115</v>
      </c>
      <c r="D17" s="5" t="s">
        <v>1116</v>
      </c>
      <c r="E17" s="6" t="s">
        <v>1048</v>
      </c>
      <c r="F17" s="6" t="s">
        <v>1117</v>
      </c>
      <c r="G17" s="6" t="s">
        <v>1118</v>
      </c>
      <c r="H17" s="6" t="s">
        <v>1119</v>
      </c>
      <c r="I17" s="6" t="s">
        <v>1086</v>
      </c>
      <c r="J17" s="6" t="s">
        <v>1120</v>
      </c>
    </row>
    <row r="18" customFormat="false" ht="27.75" hidden="false" customHeight="true" outlineLevel="0" collapsed="false">
      <c r="B18" s="5" t="s">
        <v>563</v>
      </c>
      <c r="C18" s="6" t="s">
        <v>1121</v>
      </c>
      <c r="D18" s="5" t="n">
        <v>1</v>
      </c>
      <c r="E18" s="6" t="s">
        <v>1048</v>
      </c>
      <c r="F18" s="6" t="s">
        <v>1122</v>
      </c>
      <c r="G18" s="6" t="s">
        <v>1123</v>
      </c>
      <c r="H18" s="6" t="s">
        <v>1124</v>
      </c>
      <c r="I18" s="6" t="s">
        <v>396</v>
      </c>
      <c r="J18" s="6" t="s">
        <v>1125</v>
      </c>
    </row>
    <row r="19" customFormat="false" ht="27.75" hidden="false" customHeight="true" outlineLevel="0" collapsed="false">
      <c r="B19" s="5" t="s">
        <v>1126</v>
      </c>
      <c r="C19" s="6" t="s">
        <v>1127</v>
      </c>
      <c r="D19" s="5" t="s">
        <v>199</v>
      </c>
      <c r="E19" s="6" t="s">
        <v>1086</v>
      </c>
      <c r="F19" s="6" t="s">
        <v>1128</v>
      </c>
      <c r="G19" s="6" t="s">
        <v>1129</v>
      </c>
      <c r="H19" s="6" t="s">
        <v>1130</v>
      </c>
      <c r="I19" s="6" t="s">
        <v>1086</v>
      </c>
      <c r="J19" s="6" t="s">
        <v>1131</v>
      </c>
    </row>
    <row r="20" customFormat="false" ht="27.75" hidden="false" customHeight="true" outlineLevel="0" collapsed="false">
      <c r="B20" s="5" t="s">
        <v>1132</v>
      </c>
      <c r="C20" s="6" t="s">
        <v>1133</v>
      </c>
      <c r="D20" s="5" t="s">
        <v>199</v>
      </c>
      <c r="E20" s="6" t="s">
        <v>1048</v>
      </c>
      <c r="F20" s="6" t="s">
        <v>1134</v>
      </c>
      <c r="G20" s="6" t="s">
        <v>1135</v>
      </c>
      <c r="H20" s="6" t="s">
        <v>1136</v>
      </c>
      <c r="I20" s="6" t="s">
        <v>1086</v>
      </c>
      <c r="J20" s="6" t="s">
        <v>1137</v>
      </c>
    </row>
  </sheetData>
  <autoFilter ref="B5:J20"/>
  <mergeCells count="1">
    <mergeCell ref="B2:J2"/>
  </mergeCells>
  <conditionalFormatting sqref="B6:Z20">
    <cfRule type="expression" priority="2" aboveAverage="0" equalAverage="0" bottom="0" percent="0" rank="0" text="" dxfId="7">
      <formula>$I6="Confirmed from notes"</formula>
    </cfRule>
    <cfRule type="expression" priority="3" aboveAverage="0" equalAverage="0" bottom="0" percent="0" rank="0" text="" dxfId="8">
      <formula>$I6="Inferred / likely"</formula>
    </cfRule>
    <cfRule type="expression" priority="4" aboveAverage="0" equalAverage="0" bottom="0" percent="0" rank="0" text="" dxfId="8">
      <formula>$I6="Verify in cabinet"</formula>
    </cfRule>
    <cfRule type="expression" priority="5" aboveAverage="0" equalAverage="0" bottom="0" percent="0" rank="0" text="" dxfId="8">
      <formula>$I6="Measure before buying"</formula>
    </cfRule>
    <cfRule type="expression" priority="6" aboveAverage="0" equalAverage="0" bottom="0" percent="0" rank="0" text="" dxfId="9">
      <formula>$I6="Optional"</formula>
    </cfRule>
  </conditionalFormatting>
  <dataValidations count="2">
    <dataValidation allowBlank="true" errorStyle="stop" operator="between" showDropDown="false" showErrorMessage="false" showInputMessage="false" sqref="E6:E20" type="list">
      <formula1>"Buy now,Buy after verification,Optional,Reuse existing,Do not buy yet"</formula1>
      <formula2>0</formula2>
    </dataValidation>
    <dataValidation allowBlank="true" errorStyle="stop" operator="between" showDropDown="false" showErrorMessage="false" showInputMessage="false" sqref="I6:I20" type="list">
      <formula1>"Confirmed from notes,Inferred / likely,Verify in cabinet,Measure before buying,Optional,TBD"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4" min="2" style="1" width="48"/>
    <col collapsed="false" customWidth="true" hidden="false" outlineLevel="0" max="5" min="5" style="1" width="33.6"/>
    <col collapsed="false" customWidth="true" hidden="false" outlineLevel="0" max="6" min="6" style="1" width="21.9"/>
    <col collapsed="false" customWidth="true" hidden="false" outlineLevel="0" max="7" min="7" style="1" width="48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1138</v>
      </c>
      <c r="C2" s="2"/>
      <c r="D2" s="2"/>
      <c r="E2" s="2"/>
      <c r="F2" s="2"/>
      <c r="G2" s="2"/>
      <c r="H2" s="2"/>
    </row>
    <row r="3" customFormat="false" ht="27.75" hidden="false" customHeight="true" outlineLevel="0" collapsed="false">
      <c r="B3" s="3" t="s">
        <v>1139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1140</v>
      </c>
      <c r="C5" s="4" t="s">
        <v>1141</v>
      </c>
      <c r="D5" s="4" t="s">
        <v>1142</v>
      </c>
      <c r="E5" s="4" t="s">
        <v>1143</v>
      </c>
      <c r="F5" s="4" t="s">
        <v>44</v>
      </c>
      <c r="G5" s="4" t="s">
        <v>45</v>
      </c>
    </row>
    <row r="6" customFormat="false" ht="27.75" hidden="false" customHeight="true" outlineLevel="0" collapsed="false">
      <c r="B6" s="6" t="s">
        <v>1144</v>
      </c>
      <c r="C6" s="6" t="s">
        <v>1145</v>
      </c>
      <c r="D6" s="6" t="s">
        <v>1146</v>
      </c>
      <c r="E6" s="6" t="s">
        <v>1147</v>
      </c>
      <c r="F6" s="6" t="s">
        <v>406</v>
      </c>
      <c r="G6" s="6" t="s">
        <v>1148</v>
      </c>
    </row>
    <row r="7" customFormat="false" ht="27.75" hidden="false" customHeight="true" outlineLevel="0" collapsed="false">
      <c r="B7" s="5" t="s">
        <v>1149</v>
      </c>
      <c r="C7" s="6" t="s">
        <v>1150</v>
      </c>
      <c r="D7" s="6" t="s">
        <v>1151</v>
      </c>
      <c r="E7" s="5" t="s">
        <v>6</v>
      </c>
      <c r="F7" s="6" t="s">
        <v>406</v>
      </c>
      <c r="G7" s="6" t="s">
        <v>1152</v>
      </c>
    </row>
    <row r="8" customFormat="false" ht="27.75" hidden="false" customHeight="true" outlineLevel="0" collapsed="false">
      <c r="B8" s="5" t="s">
        <v>849</v>
      </c>
      <c r="C8" s="6" t="s">
        <v>1153</v>
      </c>
      <c r="D8" s="6" t="s">
        <v>1154</v>
      </c>
      <c r="E8" s="6" t="s">
        <v>1155</v>
      </c>
      <c r="F8" s="6" t="s">
        <v>406</v>
      </c>
      <c r="G8" s="6" t="s">
        <v>1156</v>
      </c>
    </row>
    <row r="9" customFormat="false" ht="27.75" hidden="false" customHeight="true" outlineLevel="0" collapsed="false">
      <c r="B9" s="5" t="s">
        <v>1157</v>
      </c>
      <c r="C9" s="6" t="s">
        <v>1158</v>
      </c>
      <c r="D9" s="6" t="s">
        <v>1159</v>
      </c>
      <c r="E9" s="6" t="s">
        <v>1160</v>
      </c>
      <c r="F9" s="6" t="s">
        <v>1086</v>
      </c>
      <c r="G9" s="6" t="s">
        <v>1161</v>
      </c>
    </row>
    <row r="10" customFormat="false" ht="27.75" hidden="false" customHeight="true" outlineLevel="0" collapsed="false">
      <c r="B10" s="5" t="s">
        <v>1162</v>
      </c>
      <c r="C10" s="6" t="s">
        <v>1163</v>
      </c>
      <c r="D10" s="6" t="s">
        <v>1164</v>
      </c>
      <c r="E10" s="6" t="s">
        <v>1165</v>
      </c>
      <c r="F10" s="6" t="s">
        <v>371</v>
      </c>
      <c r="G10" s="6" t="s">
        <v>1166</v>
      </c>
    </row>
    <row r="11" customFormat="false" ht="27.75" hidden="false" customHeight="true" outlineLevel="0" collapsed="false">
      <c r="B11" s="5" t="s">
        <v>1167</v>
      </c>
      <c r="C11" s="6" t="s">
        <v>1168</v>
      </c>
      <c r="D11" s="6" t="s">
        <v>1169</v>
      </c>
      <c r="E11" s="6" t="s">
        <v>1170</v>
      </c>
      <c r="F11" s="6" t="s">
        <v>396</v>
      </c>
      <c r="G11" s="6" t="s">
        <v>1171</v>
      </c>
    </row>
    <row r="12" customFormat="false" ht="27.75" hidden="false" customHeight="true" outlineLevel="0" collapsed="false">
      <c r="B12" s="6" t="s">
        <v>1172</v>
      </c>
      <c r="C12" s="6" t="s">
        <v>1173</v>
      </c>
      <c r="D12" s="6" t="s">
        <v>1174</v>
      </c>
      <c r="E12" s="6" t="s">
        <v>10</v>
      </c>
      <c r="F12" s="6" t="s">
        <v>406</v>
      </c>
      <c r="G12" s="6" t="s">
        <v>1175</v>
      </c>
    </row>
    <row r="13" customFormat="false" ht="27.75" hidden="false" customHeight="true" outlineLevel="0" collapsed="false">
      <c r="B13" s="5" t="s">
        <v>563</v>
      </c>
      <c r="C13" s="6" t="s">
        <v>1176</v>
      </c>
      <c r="D13" s="6" t="s">
        <v>1177</v>
      </c>
      <c r="E13" s="6" t="s">
        <v>1178</v>
      </c>
      <c r="F13" s="6" t="s">
        <v>396</v>
      </c>
      <c r="G13" s="6" t="s">
        <v>1179</v>
      </c>
    </row>
    <row r="14" customFormat="false" ht="27.75" hidden="false" customHeight="true" outlineLevel="0" collapsed="false">
      <c r="B14" s="6" t="s">
        <v>1180</v>
      </c>
      <c r="C14" s="6" t="s">
        <v>1181</v>
      </c>
      <c r="D14" s="6" t="s">
        <v>1182</v>
      </c>
      <c r="E14" s="6" t="s">
        <v>1183</v>
      </c>
      <c r="F14" s="6" t="s">
        <v>396</v>
      </c>
      <c r="G14" s="6" t="s">
        <v>1184</v>
      </c>
    </row>
    <row r="15" customFormat="false" ht="27.75" hidden="false" customHeight="true" outlineLevel="0" collapsed="false">
      <c r="B15" s="5" t="s">
        <v>1185</v>
      </c>
      <c r="C15" s="6" t="s">
        <v>1186</v>
      </c>
      <c r="D15" s="6" t="s">
        <v>1187</v>
      </c>
      <c r="E15" s="6" t="s">
        <v>1188</v>
      </c>
      <c r="F15" s="6" t="s">
        <v>406</v>
      </c>
      <c r="G15" s="6" t="s">
        <v>1189</v>
      </c>
    </row>
  </sheetData>
  <autoFilter ref="B5:G15"/>
  <mergeCells count="1">
    <mergeCell ref="B2:H2"/>
  </mergeCells>
  <conditionalFormatting sqref="B6:Z15">
    <cfRule type="expression" priority="2" aboveAverage="0" equalAverage="0" bottom="0" percent="0" rank="0" text="" dxfId="7">
      <formula>$F6="Confirmed from notes"</formula>
    </cfRule>
    <cfRule type="expression" priority="3" aboveAverage="0" equalAverage="0" bottom="0" percent="0" rank="0" text="" dxfId="8">
      <formula>$F6="Inferred / likely"</formula>
    </cfRule>
    <cfRule type="expression" priority="4" aboveAverage="0" equalAverage="0" bottom="0" percent="0" rank="0" text="" dxfId="8">
      <formula>$F6="Verify in cabinet"</formula>
    </cfRule>
    <cfRule type="expression" priority="5" aboveAverage="0" equalAverage="0" bottom="0" percent="0" rank="0" text="" dxfId="8">
      <formula>$F6="Measure before buying"</formula>
    </cfRule>
    <cfRule type="expression" priority="6" aboveAverage="0" equalAverage="0" bottom="0" percent="0" rank="0" text="" dxfId="9">
      <formula>$F6="Optional"</formula>
    </cfRule>
  </conditionalFormatting>
  <dataValidations count="1">
    <dataValidation allowBlank="true" errorStyle="stop" operator="between" showDropDown="false" showErrorMessage="false" showInputMessage="false" sqref="F6:F15" type="list">
      <formula1>"Confirmed from notes,Inferred / likely,Verify in cabinet,Measure before buying,Optional,TBD"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6" min="2" style="1" width="48"/>
    <col collapsed="false" customWidth="true" hidden="false" outlineLevel="0" max="7" min="7" style="1" width="13.8"/>
    <col collapsed="false" customWidth="true" hidden="false" outlineLevel="0" max="8" min="8" style="1" width="21.9"/>
    <col collapsed="false" customWidth="true" hidden="false" outlineLevel="0" max="9" min="9" style="1" width="48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1190</v>
      </c>
      <c r="C2" s="2"/>
      <c r="D2" s="2"/>
      <c r="E2" s="2"/>
      <c r="F2" s="2"/>
      <c r="G2" s="2"/>
      <c r="H2" s="2"/>
      <c r="I2" s="2"/>
    </row>
    <row r="3" customFormat="false" ht="27.75" hidden="false" customHeight="true" outlineLevel="0" collapsed="false">
      <c r="B3" s="3" t="s">
        <v>1191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255</v>
      </c>
      <c r="C5" s="4" t="s">
        <v>1192</v>
      </c>
      <c r="D5" s="4" t="s">
        <v>1193</v>
      </c>
      <c r="E5" s="4" t="s">
        <v>1194</v>
      </c>
      <c r="F5" s="4" t="s">
        <v>1195</v>
      </c>
      <c r="G5" s="4" t="s">
        <v>1196</v>
      </c>
      <c r="H5" s="4" t="s">
        <v>44</v>
      </c>
      <c r="I5" s="4" t="s">
        <v>45</v>
      </c>
    </row>
    <row r="6" customFormat="false" ht="27.75" hidden="false" customHeight="true" outlineLevel="0" collapsed="false">
      <c r="B6" s="5" t="s">
        <v>259</v>
      </c>
      <c r="C6" s="6" t="s">
        <v>1197</v>
      </c>
      <c r="D6" s="6" t="s">
        <v>1198</v>
      </c>
      <c r="E6" s="6" t="s">
        <v>1199</v>
      </c>
      <c r="F6" s="6" t="s">
        <v>1200</v>
      </c>
      <c r="G6" s="5"/>
      <c r="H6" s="6" t="s">
        <v>1086</v>
      </c>
      <c r="I6" s="6" t="s">
        <v>1201</v>
      </c>
    </row>
    <row r="7" customFormat="false" ht="27.75" hidden="false" customHeight="true" outlineLevel="0" collapsed="false">
      <c r="B7" s="5" t="s">
        <v>259</v>
      </c>
      <c r="C7" s="6" t="s">
        <v>1202</v>
      </c>
      <c r="D7" s="6" t="s">
        <v>1203</v>
      </c>
      <c r="E7" s="6" t="s">
        <v>1204</v>
      </c>
      <c r="F7" s="6" t="s">
        <v>1205</v>
      </c>
      <c r="G7" s="5"/>
      <c r="H7" s="6" t="s">
        <v>1086</v>
      </c>
      <c r="I7" s="6" t="s">
        <v>1206</v>
      </c>
    </row>
    <row r="8" customFormat="false" ht="27.75" hidden="false" customHeight="true" outlineLevel="0" collapsed="false">
      <c r="B8" s="5" t="s">
        <v>259</v>
      </c>
      <c r="C8" s="6" t="s">
        <v>1207</v>
      </c>
      <c r="D8" s="6" t="s">
        <v>1208</v>
      </c>
      <c r="E8" s="6" t="s">
        <v>1209</v>
      </c>
      <c r="F8" s="6" t="s">
        <v>1210</v>
      </c>
      <c r="G8" s="5"/>
      <c r="H8" s="6" t="s">
        <v>1086</v>
      </c>
      <c r="I8" s="6" t="s">
        <v>1211</v>
      </c>
    </row>
    <row r="9" customFormat="false" ht="27.75" hidden="false" customHeight="true" outlineLevel="0" collapsed="false">
      <c r="B9" s="5" t="s">
        <v>259</v>
      </c>
      <c r="C9" s="6" t="s">
        <v>1212</v>
      </c>
      <c r="D9" s="6" t="s">
        <v>1213</v>
      </c>
      <c r="E9" s="6" t="s">
        <v>1214</v>
      </c>
      <c r="F9" s="6" t="s">
        <v>1215</v>
      </c>
      <c r="G9" s="5"/>
      <c r="H9" s="6" t="s">
        <v>1086</v>
      </c>
      <c r="I9" s="6" t="s">
        <v>1216</v>
      </c>
    </row>
    <row r="10" customFormat="false" ht="27.75" hidden="false" customHeight="true" outlineLevel="0" collapsed="false">
      <c r="B10" s="5" t="s">
        <v>259</v>
      </c>
      <c r="C10" s="6" t="s">
        <v>1217</v>
      </c>
      <c r="D10" s="6" t="s">
        <v>1218</v>
      </c>
      <c r="E10" s="6" t="s">
        <v>1219</v>
      </c>
      <c r="F10" s="6" t="s">
        <v>1220</v>
      </c>
      <c r="G10" s="5"/>
      <c r="H10" s="6" t="s">
        <v>1086</v>
      </c>
      <c r="I10" s="6" t="s">
        <v>1221</v>
      </c>
    </row>
    <row r="11" customFormat="false" ht="27.75" hidden="false" customHeight="true" outlineLevel="0" collapsed="false">
      <c r="B11" s="5" t="s">
        <v>259</v>
      </c>
      <c r="C11" s="6" t="s">
        <v>1222</v>
      </c>
      <c r="D11" s="6" t="s">
        <v>1223</v>
      </c>
      <c r="E11" s="6" t="s">
        <v>1224</v>
      </c>
      <c r="F11" s="6" t="s">
        <v>1225</v>
      </c>
      <c r="G11" s="5"/>
      <c r="H11" s="6" t="s">
        <v>1086</v>
      </c>
      <c r="I11" s="6" t="s">
        <v>1226</v>
      </c>
    </row>
    <row r="12" customFormat="false" ht="27.75" hidden="false" customHeight="true" outlineLevel="0" collapsed="false">
      <c r="B12" s="5" t="s">
        <v>310</v>
      </c>
      <c r="C12" s="6" t="s">
        <v>1227</v>
      </c>
      <c r="D12" s="6" t="s">
        <v>1228</v>
      </c>
      <c r="E12" s="6" t="s">
        <v>1229</v>
      </c>
      <c r="F12" s="6" t="s">
        <v>1230</v>
      </c>
      <c r="G12" s="5"/>
      <c r="H12" s="6" t="s">
        <v>396</v>
      </c>
      <c r="I12" s="6" t="s">
        <v>1231</v>
      </c>
    </row>
    <row r="13" customFormat="false" ht="27.75" hidden="false" customHeight="true" outlineLevel="0" collapsed="false">
      <c r="B13" s="5" t="s">
        <v>310</v>
      </c>
      <c r="C13" s="6" t="s">
        <v>1232</v>
      </c>
      <c r="D13" s="6" t="s">
        <v>1233</v>
      </c>
      <c r="E13" s="6" t="s">
        <v>1234</v>
      </c>
      <c r="F13" s="6" t="s">
        <v>1235</v>
      </c>
      <c r="G13" s="5"/>
      <c r="H13" s="6" t="s">
        <v>396</v>
      </c>
      <c r="I13" s="5"/>
    </row>
    <row r="14" customFormat="false" ht="27.75" hidden="false" customHeight="true" outlineLevel="0" collapsed="false">
      <c r="B14" s="5" t="s">
        <v>310</v>
      </c>
      <c r="C14" s="6" t="s">
        <v>1236</v>
      </c>
      <c r="D14" s="6" t="s">
        <v>1237</v>
      </c>
      <c r="E14" s="6" t="s">
        <v>1238</v>
      </c>
      <c r="F14" s="5" t="s">
        <v>1239</v>
      </c>
      <c r="G14" s="5"/>
      <c r="H14" s="6" t="s">
        <v>396</v>
      </c>
      <c r="I14" s="6" t="s">
        <v>1240</v>
      </c>
    </row>
    <row r="15" customFormat="false" ht="27.75" hidden="false" customHeight="true" outlineLevel="0" collapsed="false">
      <c r="B15" s="5" t="s">
        <v>310</v>
      </c>
      <c r="C15" s="6" t="s">
        <v>1241</v>
      </c>
      <c r="D15" s="6" t="s">
        <v>1242</v>
      </c>
      <c r="E15" s="6" t="s">
        <v>1243</v>
      </c>
      <c r="F15" s="6" t="s">
        <v>1244</v>
      </c>
      <c r="G15" s="5"/>
      <c r="H15" s="6" t="s">
        <v>1086</v>
      </c>
      <c r="I15" s="5"/>
    </row>
    <row r="16" customFormat="false" ht="27.75" hidden="false" customHeight="true" outlineLevel="0" collapsed="false">
      <c r="B16" s="5" t="s">
        <v>310</v>
      </c>
      <c r="C16" s="6" t="s">
        <v>1245</v>
      </c>
      <c r="D16" s="6" t="s">
        <v>1246</v>
      </c>
      <c r="E16" s="6" t="s">
        <v>1247</v>
      </c>
      <c r="F16" s="6" t="s">
        <v>1248</v>
      </c>
      <c r="G16" s="5"/>
      <c r="H16" s="6" t="s">
        <v>396</v>
      </c>
      <c r="I16" s="6" t="s">
        <v>1249</v>
      </c>
    </row>
    <row r="17" customFormat="false" ht="27.75" hidden="false" customHeight="true" outlineLevel="0" collapsed="false">
      <c r="B17" s="5" t="s">
        <v>339</v>
      </c>
      <c r="C17" s="6" t="s">
        <v>1250</v>
      </c>
      <c r="D17" s="6" t="s">
        <v>1251</v>
      </c>
      <c r="E17" s="6" t="s">
        <v>1252</v>
      </c>
      <c r="F17" s="6" t="s">
        <v>1253</v>
      </c>
      <c r="G17" s="5"/>
      <c r="H17" s="5" t="s">
        <v>76</v>
      </c>
      <c r="I17" s="5"/>
    </row>
  </sheetData>
  <autoFilter ref="B5:I17"/>
  <mergeCells count="1">
    <mergeCell ref="B2:I2"/>
  </mergeCells>
  <conditionalFormatting sqref="B6:Z17">
    <cfRule type="expression" priority="2" aboveAverage="0" equalAverage="0" bottom="0" percent="0" rank="0" text="" dxfId="7">
      <formula>$H6="Confirmed from notes"</formula>
    </cfRule>
    <cfRule type="expression" priority="3" aboveAverage="0" equalAverage="0" bottom="0" percent="0" rank="0" text="" dxfId="8">
      <formula>$H6="Inferred / likely"</formula>
    </cfRule>
    <cfRule type="expression" priority="4" aboveAverage="0" equalAverage="0" bottom="0" percent="0" rank="0" text="" dxfId="8">
      <formula>$H6="Verify in cabinet"</formula>
    </cfRule>
    <cfRule type="expression" priority="5" aboveAverage="0" equalAverage="0" bottom="0" percent="0" rank="0" text="" dxfId="8">
      <formula>$H6="Measure before buying"</formula>
    </cfRule>
    <cfRule type="expression" priority="6" aboveAverage="0" equalAverage="0" bottom="0" percent="0" rank="0" text="" dxfId="9">
      <formula>$H6="Optional"</formula>
    </cfRule>
  </conditionalFormatting>
  <dataValidations count="1">
    <dataValidation allowBlank="true" errorStyle="stop" operator="between" showDropDown="false" showErrorMessage="false" showInputMessage="false" sqref="H6:H17" type="list">
      <formula1>"Confirmed from notes,Inferred / likely,Verify in cabinet,Measure before buying,Optional,TBD"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8"/>
    <col collapsed="false" customWidth="true" hidden="false" outlineLevel="0" max="3" min="3" style="1" width="21"/>
    <col collapsed="false" customWidth="true" hidden="false" outlineLevel="0" max="4" min="4" style="1" width="58"/>
    <col collapsed="false" customWidth="true" hidden="false" outlineLevel="0" max="5" min="5" style="1" width="12"/>
    <col collapsed="false" customWidth="true" hidden="false" outlineLevel="0" max="6" min="6" style="1" width="58"/>
  </cols>
  <sheetData>
    <row r="1" customFormat="false" ht="27.75" hidden="false" customHeight="true" outlineLevel="0" collapsed="false"/>
    <row r="2" customFormat="false" ht="27.75" hidden="false" customHeight="true" outlineLevel="0" collapsed="false">
      <c r="B2" s="2" t="s">
        <v>1254</v>
      </c>
      <c r="C2" s="2"/>
      <c r="D2" s="2"/>
      <c r="E2" s="2"/>
      <c r="F2" s="2"/>
      <c r="G2" s="2"/>
      <c r="H2" s="2"/>
    </row>
    <row r="3" customFormat="false" ht="27.75" hidden="false" customHeight="true" outlineLevel="0" collapsed="false">
      <c r="B3" s="3" t="s">
        <v>1255</v>
      </c>
    </row>
    <row r="4" customFormat="false" ht="27.75" hidden="false" customHeight="true" outlineLevel="0" collapsed="false"/>
    <row r="5" customFormat="false" ht="27.75" hidden="false" customHeight="true" outlineLevel="0" collapsed="false">
      <c r="B5" s="4" t="s">
        <v>1256</v>
      </c>
      <c r="C5" s="4" t="s">
        <v>1257</v>
      </c>
      <c r="D5" s="4" t="s">
        <v>1258</v>
      </c>
      <c r="E5" s="4" t="s">
        <v>1259</v>
      </c>
      <c r="F5" s="4" t="s">
        <v>45</v>
      </c>
    </row>
    <row r="6" customFormat="false" ht="27.75" hidden="false" customHeight="true" outlineLevel="0" collapsed="false">
      <c r="B6" s="6" t="s">
        <v>1260</v>
      </c>
      <c r="C6" s="5" t="s">
        <v>1261</v>
      </c>
      <c r="D6" s="6" t="s">
        <v>1262</v>
      </c>
      <c r="E6" s="5" t="s">
        <v>310</v>
      </c>
      <c r="F6" s="6" t="s">
        <v>1263</v>
      </c>
    </row>
    <row r="7" customFormat="false" ht="27.75" hidden="false" customHeight="true" outlineLevel="0" collapsed="false">
      <c r="B7" s="6" t="s">
        <v>1260</v>
      </c>
      <c r="C7" s="6" t="s">
        <v>1264</v>
      </c>
      <c r="D7" s="6" t="s">
        <v>1265</v>
      </c>
      <c r="E7" s="5" t="s">
        <v>310</v>
      </c>
      <c r="F7" s="6" t="s">
        <v>1266</v>
      </c>
    </row>
    <row r="8" customFormat="false" ht="27.75" hidden="false" customHeight="true" outlineLevel="0" collapsed="false">
      <c r="B8" s="6" t="s">
        <v>1260</v>
      </c>
      <c r="C8" s="5" t="s">
        <v>1267</v>
      </c>
      <c r="D8" s="6" t="s">
        <v>1268</v>
      </c>
      <c r="E8" s="5" t="s">
        <v>310</v>
      </c>
      <c r="F8" s="6" t="s">
        <v>1269</v>
      </c>
    </row>
    <row r="9" customFormat="false" ht="27.75" hidden="false" customHeight="true" outlineLevel="0" collapsed="false">
      <c r="B9" s="6" t="s">
        <v>1260</v>
      </c>
      <c r="C9" s="5" t="s">
        <v>1270</v>
      </c>
      <c r="D9" s="6" t="s">
        <v>1271</v>
      </c>
      <c r="E9" s="5" t="s">
        <v>310</v>
      </c>
      <c r="F9" s="6" t="s">
        <v>1272</v>
      </c>
    </row>
    <row r="10" customFormat="false" ht="27.75" hidden="false" customHeight="true" outlineLevel="0" collapsed="false">
      <c r="B10" s="6" t="s">
        <v>1260</v>
      </c>
      <c r="C10" s="5" t="s">
        <v>1273</v>
      </c>
      <c r="D10" s="6" t="s">
        <v>1274</v>
      </c>
      <c r="E10" s="5" t="s">
        <v>310</v>
      </c>
      <c r="F10" s="6" t="s">
        <v>1275</v>
      </c>
    </row>
    <row r="11" customFormat="false" ht="27.75" hidden="false" customHeight="true" outlineLevel="0" collapsed="false">
      <c r="B11" s="6" t="s">
        <v>1260</v>
      </c>
      <c r="C11" s="5" t="s">
        <v>1276</v>
      </c>
      <c r="D11" s="6" t="s">
        <v>1277</v>
      </c>
      <c r="E11" s="5" t="s">
        <v>310</v>
      </c>
      <c r="F11" s="6" t="s">
        <v>1278</v>
      </c>
    </row>
    <row r="12" customFormat="false" ht="27.75" hidden="false" customHeight="true" outlineLevel="0" collapsed="false">
      <c r="B12" s="6" t="s">
        <v>1260</v>
      </c>
      <c r="C12" s="5" t="s">
        <v>1279</v>
      </c>
      <c r="D12" s="6" t="s">
        <v>1280</v>
      </c>
      <c r="E12" s="5" t="s">
        <v>310</v>
      </c>
      <c r="F12" s="6" t="s">
        <v>1281</v>
      </c>
    </row>
    <row r="13" customFormat="false" ht="27.75" hidden="false" customHeight="true" outlineLevel="0" collapsed="false">
      <c r="B13" s="6" t="s">
        <v>1282</v>
      </c>
      <c r="C13" s="6" t="s">
        <v>1283</v>
      </c>
      <c r="D13" s="6" t="s">
        <v>1284</v>
      </c>
      <c r="E13" s="5" t="s">
        <v>310</v>
      </c>
      <c r="F13" s="6" t="s">
        <v>1285</v>
      </c>
    </row>
    <row r="14" customFormat="false" ht="27.75" hidden="false" customHeight="true" outlineLevel="0" collapsed="false">
      <c r="B14" s="6" t="s">
        <v>1286</v>
      </c>
      <c r="C14" s="5" t="s">
        <v>1287</v>
      </c>
      <c r="D14" s="6" t="s">
        <v>1288</v>
      </c>
      <c r="E14" s="5" t="s">
        <v>259</v>
      </c>
      <c r="F14" s="5" t="s">
        <v>1289</v>
      </c>
    </row>
    <row r="15" customFormat="false" ht="27.75" hidden="false" customHeight="true" outlineLevel="0" collapsed="false">
      <c r="B15" s="7" t="s">
        <v>1290</v>
      </c>
      <c r="C15" s="7" t="s">
        <v>1291</v>
      </c>
      <c r="D15" s="7" t="s">
        <v>1292</v>
      </c>
      <c r="E15" s="7" t="s">
        <v>259</v>
      </c>
      <c r="F15" s="7" t="s">
        <v>1293</v>
      </c>
    </row>
    <row r="16" customFormat="false" ht="27.75" hidden="false" customHeight="true" outlineLevel="0" collapsed="false">
      <c r="B16" s="7" t="s">
        <v>1294</v>
      </c>
      <c r="C16" s="7" t="s">
        <v>1291</v>
      </c>
      <c r="D16" s="7" t="s">
        <v>1295</v>
      </c>
      <c r="E16" s="7" t="s">
        <v>259</v>
      </c>
      <c r="F16" s="7" t="s">
        <v>1296</v>
      </c>
    </row>
    <row r="17" customFormat="false" ht="28.35" hidden="false" customHeight="false" outlineLevel="0" collapsed="false">
      <c r="B17" s="7" t="s">
        <v>1294</v>
      </c>
      <c r="C17" s="7" t="s">
        <v>1291</v>
      </c>
      <c r="D17" s="7" t="s">
        <v>1297</v>
      </c>
      <c r="E17" s="7" t="s">
        <v>259</v>
      </c>
      <c r="F17" s="7" t="s">
        <v>1298</v>
      </c>
    </row>
  </sheetData>
  <autoFilter ref="B5:F14"/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2026-06-02T02:10:38Z</dcterms:created>
  <dc:creator>openpyxl</dc:creator>
  <dc:description/>
  <dc:language>en-US</dc:language>
  <cp:lastModifiedBy/>
  <dcterms:modified xsi:type="dcterms:W3CDTF">2026-06-02T02:37:27Z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