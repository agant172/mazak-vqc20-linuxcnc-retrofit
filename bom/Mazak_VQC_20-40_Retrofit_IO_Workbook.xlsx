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Architecture" sheetId="2" state="visible" r:id="rId2"/>
    <sheet xmlns:r="http://schemas.openxmlformats.org/officeDocument/2006/relationships" name="Mesa_Firmware" sheetId="3" state="visible" r:id="rId3"/>
    <sheet xmlns:r="http://schemas.openxmlformats.org/officeDocument/2006/relationships" name="Photo_Checklist" sheetId="4" state="visible" r:id="rId4"/>
    <sheet xmlns:r="http://schemas.openxmlformats.org/officeDocument/2006/relationships" name="Motion_Axes" sheetId="5" state="visible" r:id="rId5"/>
    <sheet xmlns:r="http://schemas.openxmlformats.org/officeDocument/2006/relationships" name="IO_Master" sheetId="6" state="visible" r:id="rId6"/>
    <sheet xmlns:r="http://schemas.openxmlformats.org/officeDocument/2006/relationships" name="7i77_Axis_Safety" sheetId="7" state="visible" r:id="rId7"/>
    <sheet xmlns:r="http://schemas.openxmlformats.org/officeDocument/2006/relationships" name="7i84_ATC_Utility" sheetId="8" state="visible" r:id="rId8"/>
    <sheet xmlns:r="http://schemas.openxmlformats.org/officeDocument/2006/relationships" name="Analog_Encoder" sheetId="9" state="visible" r:id="rId9"/>
    <sheet xmlns:r="http://schemas.openxmlformats.org/officeDocument/2006/relationships" name="24V_Terminals" sheetId="10" state="visible" r:id="rId10"/>
    <sheet xmlns:r="http://schemas.openxmlformats.org/officeDocument/2006/relationships" name="Parts_List" sheetId="11" state="visible" r:id="rId11"/>
    <sheet xmlns:r="http://schemas.openxmlformats.org/officeDocument/2006/relationships" name="Wiring_Notes" sheetId="12" state="visible" r:id="rId12"/>
    <sheet xmlns:r="http://schemas.openxmlformats.org/officeDocument/2006/relationships" name="Unknowns_Measure" sheetId="13" state="visible" r:id="rId13"/>
    <sheet xmlns:r="http://schemas.openxmlformats.org/officeDocument/2006/relationships" name="Source_Refs" sheetId="14" state="visible" r:id="rId14"/>
  </sheets>
  <definedNames>
    <definedName name="_xlnm._FilterDatabase" localSheetId="0" hidden="1">'README'!$B$5:$C$15</definedName>
    <definedName name="_xlnm._FilterDatabase" localSheetId="4" hidden="1">'Motion_Axes'!$B$5:$K$11</definedName>
    <definedName name="_xlnm._FilterDatabase" localSheetId="5" hidden="1">'IO_Master'!$B$5:$N$88</definedName>
    <definedName name="_xlnm._FilterDatabase" localSheetId="6" hidden="1">'7i77_Axis_Safety'!$B$5:$N$49</definedName>
    <definedName name="_xlnm._FilterDatabase" localSheetId="7" hidden="1">'7i84_ATC_Utility'!$B$5:$N$36</definedName>
    <definedName name="_xlnm._FilterDatabase" localSheetId="8" hidden="1">'Analog_Encoder'!$B$5:$K$17</definedName>
    <definedName name="_xlnm._FilterDatabase" localSheetId="9" hidden="1">'24V_Terminals'!$B$5:$J$19</definedName>
    <definedName name="_xlnm._FilterDatabase" localSheetId="10" hidden="1">'Parts_List'!$B$5:$J$20</definedName>
    <definedName name="_xlnm._FilterDatabase" localSheetId="11" hidden="1">'Wiring_Notes'!$B$5:$G$15</definedName>
    <definedName name="_xlnm._FilterDatabase" localSheetId="12" hidden="1">'Unknowns_Measure'!$B$5:$I$17</definedName>
    <definedName name="_xlnm._FilterDatabase" localSheetId="13" hidden="1">'Source_Refs'!$B$5:$F$14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6"/>
    </font>
    <font>
      <name val="Calibri"/>
      <charset val="1"/>
      <family val="0"/>
      <i val="1"/>
      <color rgb="FF666666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sz val="11"/>
    </font>
    <font>
      <name val="Calibri"/>
      <charset val="1"/>
      <family val="0"/>
      <b val="1"/>
      <sz val="11"/>
    </font>
  </fonts>
  <fills count="8">
    <fill>
      <patternFill/>
    </fill>
    <fill>
      <patternFill patternType="gray125"/>
    </fill>
    <fill>
      <patternFill patternType="solid">
        <fgColor rgb="FF01696F"/>
        <bgColor rgb="FF008080"/>
      </patternFill>
    </fill>
    <fill>
      <patternFill patternType="solid">
        <fgColor rgb="FF1B474D"/>
        <bgColor rgb="FF003366"/>
      </patternFill>
    </fill>
    <fill>
      <patternFill patternType="solid">
        <fgColor rgb="FFDDEEEF"/>
        <bgColor rgb="FFE2F0D9"/>
      </patternFill>
    </fill>
    <fill>
      <patternFill patternType="solid">
        <fgColor rgb="FFE2F0D9"/>
        <bgColor rgb="FFDDEEEF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top" wrapText="1"/>
    </xf>
    <xf numFmtId="0" fontId="7" fillId="6" borderId="1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general" vertical="bottom"/>
    </xf>
    <xf numFmtId="0" fontId="7" fillId="7" borderId="1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top" wrapText="1"/>
    </xf>
    <xf numFmtId="0" fontId="7" fillId="6" borderId="1" applyAlignment="1" pivotButton="0" quotePrefix="0" xfId="0">
      <alignment horizontal="left" vertical="top" wrapText="1"/>
    </xf>
    <xf numFmtId="0" fontId="7" fillId="7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0">
    <dxf>
      <fill>
        <patternFill patternType="solid">
          <fgColor rgb="FF1B474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E7E6E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1696F"/>
      <rgbColor rgb="FFC0C0C0"/>
      <rgbColor rgb="FF808080"/>
      <rgbColor rgb="FF9999FF"/>
      <rgbColor rgb="FF993366"/>
      <rgbColor rgb="FFFFF2CC"/>
      <rgbColor rgb="FFDDEEE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474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README_Table" displayName="README_Table" ref="B5:C15" headerRowCount="1" totalsRowCount="0" totalsRowShown="0">
  <autoFilter ref="B5:C15"/>
  <tableColumns count="2">
    <tableColumn id="1" name="Sheet"/>
    <tableColumn id="2" name="Us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rchitectureDecision" displayName="ArchitectureDecision" ref="B5:H12" headerRowCount="1" totalsRowCount="0" totalsRowShown="0">
  <autoFilter ref="B5:H12"/>
  <tableColumns count="7">
    <tableColumn id="1" name="Decision Area"/>
    <tableColumn id="2" name="Selected Path"/>
    <tableColumn id="3" name="Why"/>
    <tableColumn id="4" name="Cabinet / Wiring Impact"/>
    <tableColumn id="5" name="Workbook Impact"/>
    <tableColumn id="6" name="Status"/>
    <tableColumn id="7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esaFirmwareChecklist" displayName="MesaFirmwareChecklist" ref="B5:K26" headerRowCount="1" totalsRowCount="0" totalsRowShown="0">
  <autoFilter ref="B5:K26"/>
  <tableColumns count="10">
    <tableColumn id="1" name="Group"/>
    <tableColumn id="2" name="Item to Find / Record"/>
    <tableColumn id="3" name="Why It Matters"/>
    <tableColumn id="4" name="Expected / Current Plan"/>
    <tableColumn id="5" name="Your Value"/>
    <tableColumn id="6" name="How to Get It"/>
    <tableColumn id="7" name="Command / Place to Look"/>
    <tableColumn id="8" name="Blocks"/>
    <tableColumn id="9" name="Status"/>
    <tableColumn id="10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hotoChecklist" displayName="PhotoChecklist" ref="B5:H24" headerRowCount="1" totalsRowCount="0" totalsRowShown="0">
  <autoFilter ref="B5:H24"/>
  <tableColumns count="7">
    <tableColumn id="1" name="Priority"/>
    <tableColumn id="2" name="Photo / Area"/>
    <tableColumn id="3" name="What to Capture"/>
    <tableColumn id="4" name="Why It Matters"/>
    <tableColumn id="5" name="Suggested File Name"/>
    <tableColumn id="6" name="Done"/>
    <tableColumn id="7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otionAxes" displayName="MotionAxes" ref="B5:K11" headerRowCount="1" totalsRowCount="0" totalsRowShown="0">
  <autoFilter ref="B5:K11"/>
  <tableColumns count="10">
    <tableColumn id="1" name="Axis / Device"/>
    <tableColumn id="2" name="Control Type"/>
    <tableColumn id="3" name="Command Channel"/>
    <tableColumn id="4" name="Feedback Channel"/>
    <tableColumn id="5" name="Existing Hardware"/>
    <tableColumn id="6" name="LinuxCNC Requirement"/>
    <tableColumn id="7" name="Interlocks / Dependencies"/>
    <tableColumn id="8" name="Bring-up Test"/>
    <tableColumn id="9" name="Status"/>
    <tableColumn id="10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IOMaster" displayName="IOMaster" ref="B5:N88" headerRowCount="1" totalsRowCount="0" totalsRowShown="0">
  <autoFilter ref="B5:N88"/>
  <tableColumns count="13">
    <tableColumn id="1" name="Machine Signal Name"/>
    <tableColumn id="2" name="Mazak Label / Drawing Ref"/>
    <tableColumn id="3" name="Subsystem"/>
    <tableColumn id="4" name="Function"/>
    <tableColumn id="5" name="Normal State / Type"/>
    <tableColumn id="6" name="Direction"/>
    <tableColumn id="7" name="Mesa Card"/>
    <tableColumn id="8" name="Mesa Conn"/>
    <tableColumn id="9" name="Mesa Bit / Channel"/>
    <tableColumn id="10" name="LinuxCNC HAL Net"/>
    <tableColumn id="11" name="Cabinet Landing / Origin"/>
    <tableColumn id="12" name="Status"/>
    <tableColumn id="13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AxisSafety7i77" displayName="AxisSafety7i77" ref="B5:N49" headerRowCount="1" totalsRowCount="0" totalsRowShown="0">
  <autoFilter ref="B5:N49"/>
  <tableColumns count="13">
    <tableColumn id="1" name="Machine Signal Name"/>
    <tableColumn id="2" name="Mazak Label / Drawing Ref"/>
    <tableColumn id="3" name="Subsystem"/>
    <tableColumn id="4" name="Function"/>
    <tableColumn id="5" name="Normal State / Type"/>
    <tableColumn id="6" name="Direction"/>
    <tableColumn id="7" name="Mesa Card"/>
    <tableColumn id="8" name="Mesa Conn"/>
    <tableColumn id="9" name="Mesa Bit / Channel"/>
    <tableColumn id="10" name="LinuxCNC HAL Net"/>
    <tableColumn id="11" name="Cabinet Landing / Origin"/>
    <tableColumn id="12" name="Status"/>
    <tableColumn id="13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ATCUtility7i84" displayName="ATCUtility7i84" ref="B5:N36" headerRowCount="1" totalsRowCount="0" totalsRowShown="0">
  <autoFilter ref="B5:N36"/>
  <tableColumns count="13">
    <tableColumn id="1" name="Machine Signal Name"/>
    <tableColumn id="2" name="Mazak Label / Drawing Ref"/>
    <tableColumn id="3" name="Subsystem"/>
    <tableColumn id="4" name="Function"/>
    <tableColumn id="5" name="Normal State / Type"/>
    <tableColumn id="6" name="Direction"/>
    <tableColumn id="7" name="Mesa Card"/>
    <tableColumn id="8" name="Mesa Conn"/>
    <tableColumn id="9" name="Mesa Bit / Channel"/>
    <tableColumn id="10" name="LinuxCNC HAL Net"/>
    <tableColumn id="11" name="Cabinet Landing / Origin"/>
    <tableColumn id="12" name="Status"/>
    <tableColumn id="13" name="Note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AnalogEncoder" displayName="AnalogEncoder" ref="B5:K17" headerRowCount="1" totalsRowCount="0" totalsRowShown="0">
  <autoFilter ref="B5:K17"/>
  <tableColumns count="10">
    <tableColumn id="1" name="Channel"/>
    <tableColumn id="2" name="Axis / Device"/>
    <tableColumn id="3" name="Signal Type"/>
    <tableColumn id="4" name="Signal Pair / Terminals"/>
    <tableColumn id="5" name="Machine Origin / Destination"/>
    <tableColumn id="6" name="Mesa Card"/>
    <tableColumn id="7" name="LinuxCNC HAL Net"/>
    <tableColumn id="8" name="Status"/>
    <tableColumn id="9" name="Measurement Needed"/>
    <tableColumn id="10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Power24V" displayName="Power24V" ref="B5:J19" headerRowCount="1" totalsRowCount="0" totalsRowShown="0">
  <autoFilter ref="B5:J19"/>
  <tableColumns count="9">
    <tableColumn id="1" name="Terminal / Label"/>
    <tableColumn id="2" name="Device / Strip"/>
    <tableColumn id="3" name="Function"/>
    <tableColumn id="4" name="Expected Voltage / Type"/>
    <tableColumn id="5" name="From"/>
    <tableColumn id="6" name="To"/>
    <tableColumn id="7" name="Do / Do Not"/>
    <tableColumn id="8" name="Status"/>
    <tableColumn id="9" name="Not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PartsList" displayName="PartsList" ref="B5:J20" headerRowCount="1" totalsRowCount="0" totalsRowShown="0">
  <autoFilter ref="B5:J20"/>
  <tableColumns count="9">
    <tableColumn id="1" name="Category"/>
    <tableColumn id="2" name="Part / Description"/>
    <tableColumn id="3" name="Suggested Qty"/>
    <tableColumn id="4" name="Buy Priority"/>
    <tableColumn id="5" name="Purpose"/>
    <tableColumn id="6" name="Depends On / Verify First"/>
    <tableColumn id="7" name="Cabinet Location"/>
    <tableColumn id="8" name="Status"/>
    <tableColumn id="9" name="Not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WiringNotes" displayName="WiringNotes" ref="B5:G15" headerRowCount="1" totalsRowCount="0" totalsRowShown="0">
  <autoFilter ref="B5:G15"/>
  <tableColumns count="6">
    <tableColumn id="1" name="Phase"/>
    <tableColumn id="2" name="Task / Note"/>
    <tableColumn id="3" name="Why it matters"/>
    <tableColumn id="4" name="Affected Sheets"/>
    <tableColumn id="5" name="Status"/>
    <tableColumn id="6" name="Notes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UnknownsMeasure" displayName="UnknownsMeasure" ref="B5:I17" headerRowCount="1" totalsRowCount="0" totalsRowShown="0">
  <autoFilter ref="B5:I17"/>
  <tableColumns count="8">
    <tableColumn id="1" name="Priority"/>
    <tableColumn id="2" name="Unknown / Measurement"/>
    <tableColumn id="3" name="Why Needed"/>
    <tableColumn id="4" name="How to Check"/>
    <tableColumn id="5" name="Blocks Purchase / Work"/>
    <tableColumn id="6" name="Owner / Date"/>
    <tableColumn id="7" name="Status"/>
    <tableColumn id="8" name="Note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SourceRefs" displayName="SourceRefs" ref="B5:F14" headerRowCount="1" totalsRowCount="0" totalsRowShown="0">
  <autoFilter ref="B5:F14"/>
  <tableColumns count="5">
    <tableColumn id="1" name="Source"/>
    <tableColumn id="2" name="Lines / Location"/>
    <tableColumn id="3" name="What was extracted"/>
    <tableColumn id="4" name="Confidence"/>
    <tableColumn id="5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B2:H2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17" min="1" max="1"/>
    <col width="34" customWidth="1" style="17" min="2" max="2"/>
    <col width="18" customWidth="1" style="17" min="3" max="3"/>
  </cols>
  <sheetData>
    <row r="1" ht="27.75" customHeight="1" s="18"/>
    <row r="2" ht="27.75" customHeight="1" s="18">
      <c r="B2" s="19" t="inlineStr">
        <is>
          <t>Mazak VQC 20/40 Retrofit I/O Workbook</t>
        </is>
      </c>
    </row>
    <row r="3" ht="27.75" customHeight="1" s="18">
      <c r="B3" s="20" t="inlineStr">
        <is>
          <t>Working extraction from the available Mesa/LinuxCNC retrofit notes and cabinet terminal discussion. Treat yellow/verify rows as planning placeholders until measured in the cabinet or confirmed from the Mazak manual.</t>
        </is>
      </c>
    </row>
    <row r="4" ht="27.75" customHeight="1" s="18"/>
    <row r="5" ht="27.75" customHeight="1" s="18">
      <c r="B5" s="21" t="inlineStr">
        <is>
          <t>Sheet</t>
        </is>
      </c>
      <c r="C5" s="21" t="inlineStr">
        <is>
          <t>Use</t>
        </is>
      </c>
    </row>
    <row r="6" ht="27.75" customHeight="1" s="18">
      <c r="B6" s="22" t="inlineStr">
        <is>
          <t>Motion_Axes</t>
        </is>
      </c>
      <c r="C6" s="23" t="inlineStr">
        <is>
          <t>Controllable axes, analog commands, encoder feedback, spindle motion requirements, and bring-up checks.</t>
        </is>
      </c>
    </row>
    <row r="7" ht="27.75" customHeight="1" s="18">
      <c r="B7" s="22" t="inlineStr">
        <is>
          <t>IO_Master</t>
        </is>
      </c>
      <c r="C7" s="23" t="inlineStr">
        <is>
          <t>One master list of all extracted inputs, outputs, analog, encoder, power, USB, and mechanical/control requirements.</t>
        </is>
      </c>
    </row>
    <row r="8" ht="27.75" customHeight="1" s="18">
      <c r="B8" s="23" t="inlineStr">
        <is>
          <t>7i77_Axis_Safety</t>
        </is>
      </c>
      <c r="C8" s="23" t="inlineStr">
        <is>
          <t>Critical motion/safety I/O intended for the 7i77: limits, homes, drive faults, enables, estop, lube/hydraulic OK, panel controls.</t>
        </is>
      </c>
    </row>
    <row r="9" ht="27.75" customHeight="1" s="18">
      <c r="B9" s="23" t="inlineStr">
        <is>
          <t>7i84_ATC_Utility</t>
        </is>
      </c>
      <c r="C9" s="23" t="inlineStr">
        <is>
          <t>Bulk field I/O intended for a 7i84 near the green breakout PCB: ATC, magazine, hydraulic, coolant, air, utilities.</t>
        </is>
      </c>
    </row>
    <row r="10" ht="27.75" customHeight="1" s="18">
      <c r="B10" s="22" t="inlineStr">
        <is>
          <t>Analog_Encoder</t>
        </is>
      </c>
      <c r="C10" s="23" t="inlineStr">
        <is>
          <t>7i77 analog output and encoder channel assignments for axes and spindle.</t>
        </is>
      </c>
    </row>
    <row r="11" ht="27.75" customHeight="1" s="18">
      <c r="B11" s="22" t="inlineStr">
        <is>
          <t>24V_Terminals</t>
        </is>
      </c>
      <c r="C11" s="23" t="inlineStr">
        <is>
          <t>Nemic-Lambda HR-11F-24 and P24/G24 cabinet power/terminal notes from photo-based discussion.</t>
        </is>
      </c>
    </row>
    <row r="12" ht="27.75" customHeight="1" s="18">
      <c r="B12" s="22" t="inlineStr">
        <is>
          <t>Parts_List</t>
        </is>
      </c>
      <c r="C12" s="23" t="inlineStr">
        <is>
          <t>Draft buy/planning list with quantities, priority, and verification dependencies.</t>
        </is>
      </c>
    </row>
    <row r="13" ht="27.75" customHeight="1" s="18">
      <c r="B13" s="22" t="inlineStr">
        <is>
          <t>Wiring_Notes</t>
        </is>
      </c>
      <c r="C13" s="23" t="inlineStr">
        <is>
          <t>Cabinet work plan, landing strategy, shielding/grounding notes, and cut-over sequence.</t>
        </is>
      </c>
    </row>
    <row r="14" ht="27.75" customHeight="1" s="18">
      <c r="B14" s="23" t="inlineStr">
        <is>
          <t>Unknowns_Measure</t>
        </is>
      </c>
      <c r="C14" s="23" t="inlineStr">
        <is>
          <t>Measurements and confirmations still required before final purchase, drilling, and wiring.</t>
        </is>
      </c>
    </row>
    <row r="15" ht="27.75" customHeight="1" s="18">
      <c r="B15" s="22" t="inlineStr">
        <is>
          <t>Source_Refs</t>
        </is>
      </c>
      <c r="C15" s="23" t="inlineStr">
        <is>
          <t>Local source references and confidence notes used to build this workbook.</t>
        </is>
      </c>
    </row>
    <row r="16" ht="68.25" customHeight="1" s="18">
      <c r="B16" s="24" t="inlineStr">
        <is>
          <t>Architecture</t>
        </is>
      </c>
      <c r="C16" s="24" t="inlineStr">
        <is>
          <t>Selected PCIe cabinet-tower architecture decision and its planning impact.</t>
        </is>
      </c>
    </row>
    <row r="17" ht="15" customHeight="1" s="18">
      <c r="B17" s="24" t="inlineStr">
        <is>
          <t>Mesa_Firmware</t>
        </is>
      </c>
      <c r="C17" s="24" t="inlineStr">
        <is>
          <t>Firmware, bitfile, connector order, smart-serial, and actual HAL pin checklist for finalizing Mesa configuration.</t>
        </is>
      </c>
    </row>
    <row r="18" ht="15" customHeight="1" s="18">
      <c r="B18" s="24" t="inlineStr">
        <is>
          <t>Photo_Checklist</t>
        </is>
      </c>
      <c r="C18" s="24" t="inlineStr">
        <is>
          <t>One-page cabinet photo checklist for Mesa ordering, firmware selection, and HAL pin finalization.</t>
        </is>
      </c>
    </row>
    <row r="19" ht="15" customHeight="1" s="18"/>
    <row r="21" ht="15" customHeight="1" s="18">
      <c r="B21" s="25" t="inlineStr">
        <is>
          <t>Planning Counts</t>
        </is>
      </c>
    </row>
    <row r="22" ht="15" customHeight="1" s="18">
      <c r="B22" s="26" t="inlineStr">
        <is>
          <t>Total IO_Master rows</t>
        </is>
      </c>
      <c r="C22" s="27">
        <f>COUNTA(IO_Master!B6:B200)</f>
        <v/>
      </c>
    </row>
    <row r="23" ht="15" customHeight="1" s="18">
      <c r="B23" s="26" t="inlineStr">
        <is>
          <t>7i77 assigned rows</t>
        </is>
      </c>
      <c r="C23" s="27">
        <f>COUNTIF(IO_Master!H6:H200,"7i77")</f>
        <v/>
      </c>
    </row>
    <row r="24" ht="15" customHeight="1" s="18">
      <c r="B24" s="26" t="inlineStr">
        <is>
          <t>7i84 assigned rows</t>
        </is>
      </c>
      <c r="C24" s="27">
        <f>COUNTIF(IO_Master!H6:H200,"7i84")</f>
        <v/>
      </c>
    </row>
    <row r="25" ht="15" customHeight="1" s="18">
      <c r="B25" s="26" t="inlineStr">
        <is>
          <t>Rows needing verify/measure</t>
        </is>
      </c>
      <c r="C25" s="27">
        <f>COUNTIF(IO_Master!M6:M200,"Verify in cabinet")+COUNTIF(IO_Master!M6:M200,"Measure before buying")</f>
        <v/>
      </c>
    </row>
    <row r="26" ht="15" customHeight="1" s="18">
      <c r="B26" s="26" t="inlineStr">
        <is>
          <t>Parts marked buy now</t>
        </is>
      </c>
      <c r="C26" s="27">
        <f>COUNTIF(Parts_List!E6:E100,"Buy now")</f>
        <v/>
      </c>
    </row>
    <row r="27" ht="15" customHeight="1" s="18">
      <c r="B27" s="26" t="inlineStr">
        <is>
          <t>Parts blocked until verification</t>
        </is>
      </c>
      <c r="C27" s="27">
        <f>COUNTIF(Parts_List!E6:E100,"Buy after verification")+COUNTIF(Parts_List!E6:E100,"Measure before buying")</f>
        <v/>
      </c>
    </row>
  </sheetData>
  <autoFilter ref="B5:C15"/>
  <mergeCells count="1">
    <mergeCell ref="B2:H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B2:I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17" min="1" max="1"/>
    <col width="48" customWidth="1" style="17" min="2" max="2"/>
    <col width="44" customWidth="1" style="17" min="3" max="3"/>
    <col width="48" customWidth="1" style="17" min="4" max="5"/>
    <col width="37" customWidth="1" style="17" min="6" max="6"/>
    <col width="12" customWidth="1" style="17" min="7" max="7"/>
    <col width="48" customWidth="1" style="17" min="8" max="8"/>
  </cols>
  <sheetData>
    <row r="1" ht="33.75" customHeight="1" s="18"/>
    <row r="2" ht="27.75" customHeight="1" s="18">
      <c r="B2" s="28" t="inlineStr">
        <is>
          <t>Selected Control Architecture</t>
        </is>
      </c>
    </row>
    <row r="3" ht="33.75" customHeight="1" s="18">
      <c r="B3" s="20" t="inlineStr">
        <is>
          <t>Decision locked for planning: tower PC inside the Mazak cabinet using PCIe Mesa hardware. Ethernet/laptop remains a fallback only if PCIe hardware or the tower PC proves unsuitable.</t>
        </is>
      </c>
    </row>
    <row r="4" ht="33.75" customHeight="1" s="18"/>
    <row r="5" ht="33.75" customHeight="1" s="18">
      <c r="B5" s="29" t="inlineStr">
        <is>
          <t>Decision Area</t>
        </is>
      </c>
      <c r="C5" s="29" t="inlineStr">
        <is>
          <t>Selected Path</t>
        </is>
      </c>
      <c r="D5" s="29" t="inlineStr">
        <is>
          <t>Why</t>
        </is>
      </c>
      <c r="E5" s="29" t="inlineStr">
        <is>
          <t>Cabinet / Wiring Impact</t>
        </is>
      </c>
      <c r="F5" s="29" t="inlineStr">
        <is>
          <t>Workbook Impact</t>
        </is>
      </c>
      <c r="G5" s="29" t="inlineStr">
        <is>
          <t>Status</t>
        </is>
      </c>
      <c r="H5" s="29" t="inlineStr">
        <is>
          <t>Notes</t>
        </is>
      </c>
    </row>
    <row r="6" ht="33.75" customHeight="1" s="18">
      <c r="B6" s="30" t="inlineStr">
        <is>
          <t>Control computer</t>
        </is>
      </c>
      <c r="C6" s="30" t="inlineStr">
        <is>
          <t>Tower PC mounted inside cabinet</t>
        </is>
      </c>
      <c r="D6" s="30" t="inlineStr">
        <is>
          <t>Best matches full cabinet retrofit and replaces Mazatrol rack space.</t>
        </is>
      </c>
      <c r="E6" s="30" t="inlineStr">
        <is>
          <t>Plan mounting tray, airflow, service clearance, SSD/power, and cable strain relief in former control bay.</t>
        </is>
      </c>
      <c r="F6" s="30" t="inlineStr">
        <is>
          <t>Parts_List, Wiring_Notes, Unknowns_Measure</t>
        </is>
      </c>
      <c r="G6" s="30" t="inlineStr">
        <is>
          <t>Selected</t>
        </is>
      </c>
      <c r="H6" s="30" t="inlineStr">
        <is>
          <t>Run LinuxCNC latency test on the actual tower before final commitment.</t>
        </is>
      </c>
    </row>
    <row r="7" ht="33.75" customHeight="1" s="18">
      <c r="B7" s="30" t="inlineStr">
        <is>
          <t>Mesa host interface</t>
        </is>
      </c>
      <c r="C7" s="30" t="inlineStr">
        <is>
          <t>PCIe Mesa host card, likely 6i25 or current equivalent</t>
        </is>
      </c>
      <c r="D7" s="30" t="inlineStr">
        <is>
          <t>Avoids Ethernet tuning and external laptop dependency; direct bus connection to LinuxCNC PC.</t>
        </is>
      </c>
      <c r="E7" s="30" t="inlineStr">
        <is>
          <t>Short ribbon/IDC cables from PC to DIN/panel-mounted daughtercards.</t>
        </is>
      </c>
      <c r="F7" s="30" t="inlineStr">
        <is>
          <t>Parts_List, Analog_Encoder, signal skeleton</t>
        </is>
      </c>
      <c r="G7" s="30" t="inlineStr">
        <is>
          <t>Selected</t>
        </is>
      </c>
      <c r="H7" s="30" t="inlineStr">
        <is>
          <t>Need exact card model and bitfile/firmware before final HAL pin names.</t>
        </is>
      </c>
    </row>
    <row r="8" ht="33.75" customHeight="1" s="18">
      <c r="B8" s="30" t="inlineStr">
        <is>
          <t>Axis and spindle interface</t>
        </is>
      </c>
      <c r="C8" s="30" t="inlineStr">
        <is>
          <t>7i77-class analog servo / encoder card</t>
        </is>
      </c>
      <c r="D8" s="30" t="inlineStr">
        <is>
          <t>Matches X/Y/Z analog servo commands, spindle speed command, encoder feedback, and critical I/O.</t>
        </is>
      </c>
      <c r="E8" s="30" t="inlineStr">
        <is>
          <t>Mount near servo/spindle drive signal wiring; keep analog and encoder wiring short and shielded.</t>
        </is>
      </c>
      <c r="F8" s="30" t="inlineStr">
        <is>
          <t>Motion_Axes, 7i77_Axis_Safety, Analog_Encoder</t>
        </is>
      </c>
      <c r="G8" s="30" t="inlineStr">
        <is>
          <t>Selected</t>
        </is>
      </c>
      <c r="H8" s="30" t="inlineStr">
        <is>
          <t>Verify ±10 V drive inputs, encoder type, and FR-SX speed reference before live motion.</t>
        </is>
      </c>
    </row>
    <row r="9" ht="33.75" customHeight="1" s="18">
      <c r="B9" s="30" t="inlineStr">
        <is>
          <t>Bulk field I/O</t>
        </is>
      </c>
      <c r="C9" s="30" t="inlineStr">
        <is>
          <t>7i84 near existing green breakout PCB</t>
        </is>
      </c>
      <c r="D9" s="30" t="inlineStr">
        <is>
          <t>Keeps ATC, hydraulic, coolant, air, and utility wiring localized to the field wiring area.</t>
        </is>
      </c>
      <c r="E9" s="30" t="inlineStr">
        <is>
          <t>Mount 7i84 close to terminal/breakout area; use interposing relays for coils/loads as required.</t>
        </is>
      </c>
      <c r="F9" s="30" t="inlineStr">
        <is>
          <t>7i84_ATC_Utility, Wiring_Notes</t>
        </is>
      </c>
      <c r="G9" s="30" t="inlineStr">
        <is>
          <t>Selected</t>
        </is>
      </c>
      <c r="H9" s="30" t="inlineStr">
        <is>
          <t>Verify smart-serial connection path and field power.</t>
        </is>
      </c>
    </row>
    <row r="10" ht="33.75" customHeight="1" s="18">
      <c r="B10" s="31" t="inlineStr">
        <is>
          <t>Expansion</t>
        </is>
      </c>
      <c r="C10" s="31" t="inlineStr">
        <is>
          <t>7i85/7i85S optional</t>
        </is>
      </c>
      <c r="D10" s="31" t="inlineStr">
        <is>
          <t>Only needed for extra encoders, future 4th axis, handwheel/MPG, or stepgen expansion.</t>
        </is>
      </c>
      <c r="E10" s="31" t="inlineStr">
        <is>
          <t>Reserve space and possible second connector/cable route, but do not require for initial 3-axis + spindle bring-up.</t>
        </is>
      </c>
      <c r="F10" s="31" t="inlineStr">
        <is>
          <t>Parts_List, Analog_Encoder</t>
        </is>
      </c>
      <c r="G10" s="31" t="inlineStr">
        <is>
          <t>Optional</t>
        </is>
      </c>
      <c r="H10" s="31" t="inlineStr">
        <is>
          <t>Do not let optional expansion delay base motion/control bring-up.</t>
        </is>
      </c>
    </row>
    <row r="11" ht="33.75" customHeight="1" s="18">
      <c r="B11" s="31" t="inlineStr">
        <is>
          <t>Pendant</t>
        </is>
      </c>
      <c r="C11" s="31" t="inlineStr">
        <is>
          <t>USB WHB04B-style pendant optional through LinuxCNC</t>
        </is>
      </c>
      <c r="D11" s="31" t="inlineStr">
        <is>
          <t>No Mesa I/O needed; useful for jogging and setup after base machine is safe.</t>
        </is>
      </c>
      <c r="E11" s="31" t="inlineStr">
        <is>
          <t>Use USB extension/receiver placement near cabinet door if installed.</t>
        </is>
      </c>
      <c r="F11" s="31" t="inlineStr">
        <is>
          <t>pendant_whb04b.hal</t>
        </is>
      </c>
      <c r="G11" s="31" t="inlineStr">
        <is>
          <t>Optional</t>
        </is>
      </c>
      <c r="H11" s="31" t="inlineStr">
        <is>
          <t>Pendant E-stop must not replace hardware E-stop chain unless safety-rated and wired accordingly.</t>
        </is>
      </c>
    </row>
    <row r="12" ht="33.75" customHeight="1" s="18">
      <c r="B12" s="31" t="inlineStr">
        <is>
          <t>Ethernet/laptop alternative</t>
        </is>
      </c>
      <c r="C12" s="31" t="inlineStr">
        <is>
          <t>Fallback only</t>
        </is>
      </c>
      <c r="D12" s="31" t="inlineStr">
        <is>
          <t>Adds dedicated NIC/static-IP/hm2_eth/laptop power-management complexity without much benefit for this cabinet-local retrofit.</t>
        </is>
      </c>
      <c r="E12" s="31" t="inlineStr">
        <is>
          <t>No cabinet plan based on laptop/Ethernet unless PCIe path is abandoned.</t>
        </is>
      </c>
      <c r="F12" s="31" t="inlineStr">
        <is>
          <t>Not primary</t>
        </is>
      </c>
      <c r="G12" s="31" t="inlineStr">
        <is>
          <t>Rejected</t>
        </is>
      </c>
      <c r="H12" s="31" t="inlineStr">
        <is>
          <t>Keep in mind only if tower fails latency or PCIe Mesa hardware is unavailable.</t>
        </is>
      </c>
    </row>
  </sheetData>
  <mergeCells count="1">
    <mergeCell ref="B2:I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B2:K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17" min="1" max="1"/>
    <col width="18" customWidth="1" style="17" min="2" max="2"/>
    <col width="32" customWidth="1" style="17" min="3" max="3"/>
    <col width="38" customWidth="1" style="17" min="4" max="4"/>
    <col width="32" customWidth="1" style="17" min="5" max="5"/>
    <col width="24" customWidth="1" style="17" min="6" max="6"/>
    <col width="36" customWidth="1" style="17" min="7" max="7"/>
    <col width="38" customWidth="1" style="17" min="8" max="8"/>
    <col width="24" customWidth="1" style="17" min="9" max="9"/>
    <col width="16" customWidth="1" style="17" min="10" max="10"/>
    <col width="36" customWidth="1" style="17" min="11" max="11"/>
  </cols>
  <sheetData>
    <row r="1" ht="42" customHeight="1" s="18"/>
    <row r="2" ht="27.75" customHeight="1" s="18">
      <c r="B2" s="28" t="inlineStr">
        <is>
          <t>Mesa Firmware and HAL Pin Checklist</t>
        </is>
      </c>
    </row>
    <row r="3" ht="42" customHeight="1" s="18">
      <c r="B3" s="20" t="inlineStr">
        <is>
          <t>Fill this in before finalizing the HAL files. The goal is to make the Mesa firmware/bitfile, connector order, smart-serial devices, and LinuxCNC hm2 pin names match the actual hardware in the cabinet.</t>
        </is>
      </c>
    </row>
    <row r="4" ht="42" customHeight="1" s="18"/>
    <row r="5" ht="42" customHeight="1" s="18">
      <c r="B5" s="29" t="inlineStr">
        <is>
          <t>Group</t>
        </is>
      </c>
      <c r="C5" s="29" t="inlineStr">
        <is>
          <t>Item to Find / Record</t>
        </is>
      </c>
      <c r="D5" s="29" t="inlineStr">
        <is>
          <t>Why It Matters</t>
        </is>
      </c>
      <c r="E5" s="29" t="inlineStr">
        <is>
          <t>Expected / Current Plan</t>
        </is>
      </c>
      <c r="F5" s="29" t="inlineStr">
        <is>
          <t>Your Value</t>
        </is>
      </c>
      <c r="G5" s="29" t="inlineStr">
        <is>
          <t>How to Get It</t>
        </is>
      </c>
      <c r="H5" s="29" t="inlineStr">
        <is>
          <t>Command / Place to Look</t>
        </is>
      </c>
      <c r="I5" s="29" t="inlineStr">
        <is>
          <t>Blocks</t>
        </is>
      </c>
      <c r="J5" s="29" t="inlineStr">
        <is>
          <t>Status</t>
        </is>
      </c>
      <c r="K5" s="29" t="inlineStr">
        <is>
          <t>Notes</t>
        </is>
      </c>
    </row>
    <row r="6" ht="42" customHeight="1" s="18">
      <c r="B6" s="31" t="inlineStr">
        <is>
          <t>Host card</t>
        </is>
      </c>
      <c r="C6" s="31" t="inlineStr">
        <is>
          <t>Exact Mesa host card model</t>
        </is>
      </c>
      <c r="D6" s="31" t="inlineStr">
        <is>
          <t>Firmware and HAL driver name depend on this.</t>
        </is>
      </c>
      <c r="E6" s="31" t="inlineStr">
        <is>
          <t>6i25 PCIe or current equivalent</t>
        </is>
      </c>
      <c r="F6" s="31" t="n"/>
      <c r="G6" s="31" t="inlineStr">
        <is>
          <t>Read card label, invoice, Mesa order, or mesaflash detection.</t>
        </is>
      </c>
      <c r="H6" s="31" t="inlineStr">
        <is>
          <t>mesaflash --device 6i25 --readhmid</t>
        </is>
      </c>
      <c r="I6" s="31" t="inlineStr">
        <is>
          <t>Firmware choice, HAL hm2 device name</t>
        </is>
      </c>
      <c r="J6" s="31" t="inlineStr">
        <is>
          <t>Required</t>
        </is>
      </c>
      <c r="K6" s="31" t="inlineStr">
        <is>
          <t>If not 6i25, HAL names and bitfile target change.</t>
        </is>
      </c>
    </row>
    <row r="7" ht="42" customHeight="1" s="18">
      <c r="B7" s="31" t="inlineStr">
        <is>
          <t>Host card</t>
        </is>
      </c>
      <c r="C7" s="31" t="inlineStr">
        <is>
          <t>PCIe slot and PC recognized card</t>
        </is>
      </c>
      <c r="D7" s="31" t="inlineStr">
        <is>
          <t>Confirms the tower can see the Mesa card.</t>
        </is>
      </c>
      <c r="E7" s="31" t="inlineStr">
        <is>
          <t>Tower PC in Mazak cabinet</t>
        </is>
      </c>
      <c r="F7" s="31" t="n"/>
      <c r="G7" s="31" t="inlineStr">
        <is>
          <t>Boot LinuxCNC PC and check PCI devices.</t>
        </is>
      </c>
      <c r="H7" s="31" t="inlineStr">
        <is>
          <t>lspci | grep -i mesa</t>
        </is>
      </c>
      <c r="I7" s="31" t="inlineStr">
        <is>
          <t>Basic hardware bring-up</t>
        </is>
      </c>
      <c r="J7" s="31" t="inlineStr">
        <is>
          <t>Required</t>
        </is>
      </c>
      <c r="K7" s="31" t="inlineStr">
        <is>
          <t>Run this before cabinet final wiring if possible.</t>
        </is>
      </c>
    </row>
    <row r="8" ht="42" customHeight="1" s="18">
      <c r="B8" s="31" t="inlineStr">
        <is>
          <t>Daughtercard order</t>
        </is>
      </c>
      <c r="C8" s="31" t="inlineStr">
        <is>
          <t>6i25 connector P2 destination</t>
        </is>
      </c>
      <c r="D8" s="31" t="inlineStr">
        <is>
          <t>Connector order determines firmware pinout and HAL pin mapping.</t>
        </is>
      </c>
      <c r="E8" s="31" t="inlineStr">
        <is>
          <t>7i77 likely</t>
        </is>
      </c>
      <c r="F8" s="31" t="n"/>
      <c r="G8" s="31" t="inlineStr">
        <is>
          <t>Trace first ribbon cable from 6i25 to daughtercard.</t>
        </is>
      </c>
      <c r="H8" s="31" t="inlineStr">
        <is>
          <t>Physical inspection / photos</t>
        </is>
      </c>
      <c r="I8" s="31" t="inlineStr">
        <is>
          <t>Firmware choice, wiring map</t>
        </is>
      </c>
      <c r="J8" s="31" t="inlineStr">
        <is>
          <t>Required</t>
        </is>
      </c>
      <c r="K8" s="31" t="inlineStr">
        <is>
          <t>Write card model and connector labels exactly.</t>
        </is>
      </c>
    </row>
    <row r="9" ht="42" customHeight="1" s="18">
      <c r="B9" s="31" t="inlineStr">
        <is>
          <t>Daughtercard order</t>
        </is>
      </c>
      <c r="C9" s="31" t="inlineStr">
        <is>
          <t>6i25 connector P3 destination</t>
        </is>
      </c>
      <c r="D9" s="31" t="inlineStr">
        <is>
          <t>Second connector may be unused, 7i85, second 7i77, or other expansion.</t>
        </is>
      </c>
      <c r="E9" s="31" t="inlineStr">
        <is>
          <t>Optional 7i85/7i85S or unused</t>
        </is>
      </c>
      <c r="F9" s="31" t="n"/>
      <c r="G9" s="31" t="inlineStr">
        <is>
          <t>Trace second ribbon cable if installed.</t>
        </is>
      </c>
      <c r="H9" s="31" t="inlineStr">
        <is>
          <t>Physical inspection / photos</t>
        </is>
      </c>
      <c r="I9" s="31" t="inlineStr">
        <is>
          <t>Firmware choice, expansion HAL</t>
        </is>
      </c>
      <c r="J9" s="31" t="inlineStr">
        <is>
          <t>Required</t>
        </is>
      </c>
      <c r="K9" s="31" t="inlineStr">
        <is>
          <t>Leave blank/unused if no second card on day one.</t>
        </is>
      </c>
    </row>
    <row r="10" ht="42" customHeight="1" s="18">
      <c r="B10" s="31" t="inlineStr">
        <is>
          <t>7i77</t>
        </is>
      </c>
      <c r="C10" s="31" t="inlineStr">
        <is>
          <t>7i77 variant</t>
        </is>
      </c>
      <c r="D10" s="31" t="inlineStr">
        <is>
          <t>Output type matters: 7i77 sourcing vs 7i77D sinking outputs.</t>
        </is>
      </c>
      <c r="E10" s="31" t="inlineStr">
        <is>
          <t>7i77 or 7i77D TBD</t>
        </is>
      </c>
      <c r="F10" s="31" t="n"/>
      <c r="G10" s="31" t="inlineStr">
        <is>
          <t>Read silkscreen/label on card.</t>
        </is>
      </c>
      <c r="H10" s="31" t="inlineStr">
        <is>
          <t>Card label / Mesa invoice</t>
        </is>
      </c>
      <c r="I10" s="31" t="inlineStr">
        <is>
          <t>Output wiring and field I/O logic</t>
        </is>
      </c>
      <c r="J10" s="31" t="inlineStr">
        <is>
          <t>Required</t>
        </is>
      </c>
      <c r="K10" s="31" t="inlineStr">
        <is>
          <t>Important for relay/coil common wiring.</t>
        </is>
      </c>
    </row>
    <row r="11" ht="42" customHeight="1" s="18">
      <c r="B11" s="31" t="inlineStr">
        <is>
          <t>7i77</t>
        </is>
      </c>
      <c r="C11" s="31" t="inlineStr">
        <is>
          <t>7i77 field power voltage</t>
        </is>
      </c>
      <c r="D11" s="31" t="inlineStr">
        <is>
          <t>Field I/O needs correct isolated power and common strategy.</t>
        </is>
      </c>
      <c r="E11" s="31" t="inlineStr">
        <is>
          <t>24 VDC P24/G24</t>
        </is>
      </c>
      <c r="F11" s="31" t="n"/>
      <c r="G11" s="31" t="inlineStr">
        <is>
          <t>Measure field power terminals and confirm jumpers.</t>
        </is>
      </c>
      <c r="H11" s="31" t="inlineStr">
        <is>
          <t>Meter at 7i77 field power TB</t>
        </is>
      </c>
      <c r="I11" s="31" t="inlineStr">
        <is>
          <t>I/O wiring</t>
        </is>
      </c>
      <c r="J11" s="31" t="inlineStr">
        <is>
          <t>Required</t>
        </is>
      </c>
      <c r="K11" s="31" t="inlineStr">
        <is>
          <t>Do not assume the card is powered by ribbon cable for field I/O.</t>
        </is>
      </c>
    </row>
    <row r="12" ht="42" customHeight="1" s="18">
      <c r="B12" s="31" t="inlineStr">
        <is>
          <t>7i77</t>
        </is>
      </c>
      <c r="C12" s="31" t="inlineStr">
        <is>
          <t>Encoder input mode</t>
        </is>
      </c>
      <c r="D12" s="31" t="inlineStr">
        <is>
          <t>7i77 can handle differential or single-ended encoders; setting/wiring must match.</t>
        </is>
      </c>
      <c r="E12" s="31" t="inlineStr">
        <is>
          <t>Differential preferred / TBD</t>
        </is>
      </c>
      <c r="F12" s="31" t="n"/>
      <c r="G12" s="31" t="inlineStr">
        <is>
          <t>Read encoder wiring and 7i77 manual; inspect jumpers/settings.</t>
        </is>
      </c>
      <c r="H12" s="31" t="inlineStr">
        <is>
          <t>Card manual + encoder measurements</t>
        </is>
      </c>
      <c r="I12" s="31" t="inlineStr">
        <is>
          <t>Axis feedback</t>
        </is>
      </c>
      <c r="J12" s="31" t="inlineStr">
        <is>
          <t>Required</t>
        </is>
      </c>
      <c r="K12" s="31" t="inlineStr">
        <is>
          <t>Confirm A/B/Z, shield, and encoder supply.</t>
        </is>
      </c>
    </row>
    <row r="13" ht="42" customHeight="1" s="18">
      <c r="B13" s="31" t="inlineStr">
        <is>
          <t>7i77</t>
        </is>
      </c>
      <c r="C13" s="31" t="inlineStr">
        <is>
          <t>Analog output scaling and enable behavior</t>
        </is>
      </c>
      <c r="D13" s="31" t="inlineStr">
        <is>
          <t>Drive command voltage and enable logic determine safe first motion.</t>
        </is>
      </c>
      <c r="E13" s="31" t="inlineStr">
        <is>
          <t>±10 V axis, spindle 0-10 V or ±10 V TBD</t>
        </is>
      </c>
      <c r="F13" s="31" t="n"/>
      <c r="G13" s="31" t="inlineStr">
        <is>
          <t>Measure/check drive manuals and 7i77 analog TB wiring.</t>
        </is>
      </c>
      <c r="H13" s="31" t="inlineStr">
        <is>
          <t>Drive manuals + meter</t>
        </is>
      </c>
      <c r="I13" s="31" t="inlineStr">
        <is>
          <t>Axis/spindle motion</t>
        </is>
      </c>
      <c r="J13" s="31" t="inlineStr">
        <is>
          <t>Required</t>
        </is>
      </c>
      <c r="K13" s="31" t="inlineStr">
        <is>
          <t>Verify zero output before enabling drives.</t>
        </is>
      </c>
    </row>
    <row r="14" ht="42" customHeight="1" s="18">
      <c r="B14" s="31" t="inlineStr">
        <is>
          <t>7i84</t>
        </is>
      </c>
      <c r="C14" s="31" t="inlineStr">
        <is>
          <t>7i84 connection path</t>
        </is>
      </c>
      <c r="D14" s="31" t="inlineStr">
        <is>
          <t>Determines smart-serial port and HAL pin names.</t>
        </is>
      </c>
      <c r="E14" s="31" t="inlineStr">
        <is>
          <t>7i84 on 7i77 RS-422 / smart-serial expansion</t>
        </is>
      </c>
      <c r="F14" s="31" t="n"/>
      <c r="G14" s="31" t="inlineStr">
        <is>
          <t>Trace cable from 7i84 to 7i77/host card.</t>
        </is>
      </c>
      <c r="H14" s="31" t="inlineStr">
        <is>
          <t>Physical inspection</t>
        </is>
      </c>
      <c r="I14" s="31" t="inlineStr">
        <is>
          <t>7i84 HAL pin mapping</t>
        </is>
      </c>
      <c r="J14" s="31" t="inlineStr">
        <is>
          <t>Required</t>
        </is>
      </c>
      <c r="K14" s="31" t="inlineStr">
        <is>
          <t>Record exact port and cable route.</t>
        </is>
      </c>
    </row>
    <row r="15" ht="42" customHeight="1" s="18">
      <c r="B15" s="31" t="inlineStr">
        <is>
          <t>7i84</t>
        </is>
      </c>
      <c r="C15" s="31" t="inlineStr">
        <is>
          <t>7i84 variant</t>
        </is>
      </c>
      <c r="D15" s="31" t="inlineStr">
        <is>
          <t>Sourcing/sinking behavior and pin names may differ by variant.</t>
        </is>
      </c>
      <c r="E15" s="31" t="inlineStr">
        <is>
          <t>7i84 or 7i84D TBD</t>
        </is>
      </c>
      <c r="F15" s="31" t="n"/>
      <c r="G15" s="31" t="inlineStr">
        <is>
          <t>Read card label and invoice.</t>
        </is>
      </c>
      <c r="H15" s="31" t="inlineStr">
        <is>
          <t>Card label / Mesa invoice</t>
        </is>
      </c>
      <c r="I15" s="31" t="inlineStr">
        <is>
          <t>Field output wiring</t>
        </is>
      </c>
      <c r="J15" s="31" t="inlineStr">
        <is>
          <t>Required</t>
        </is>
      </c>
      <c r="K15" s="31" t="inlineStr">
        <is>
          <t>Important for solenoid/relay output strategy.</t>
        </is>
      </c>
    </row>
    <row r="16" ht="42" customHeight="1" s="18">
      <c r="B16" s="31" t="inlineStr">
        <is>
          <t>7i84</t>
        </is>
      </c>
      <c r="C16" s="31" t="inlineStr">
        <is>
          <t>7i84 field power and output load limits</t>
        </is>
      </c>
      <c r="D16" s="31" t="inlineStr">
        <is>
          <t>Protects Mesa outputs and decides interposing relays.</t>
        </is>
      </c>
      <c r="E16" s="31" t="inlineStr">
        <is>
          <t>24 V field I/O; relays likely for loads</t>
        </is>
      </c>
      <c r="F16" s="31" t="n"/>
      <c r="G16" s="31" t="inlineStr">
        <is>
          <t>Measure field power and read 7i84 output ratings.</t>
        </is>
      </c>
      <c r="H16" s="31" t="inlineStr">
        <is>
          <t>Meter + card manual</t>
        </is>
      </c>
      <c r="I16" s="31" t="inlineStr">
        <is>
          <t>ATC/coolant/hydraulic outputs</t>
        </is>
      </c>
      <c r="J16" s="31" t="inlineStr">
        <is>
          <t>Required</t>
        </is>
      </c>
      <c r="K16" s="31" t="inlineStr">
        <is>
          <t>Measure each coil/contact load too.</t>
        </is>
      </c>
    </row>
    <row r="17" ht="42" customHeight="1" s="18">
      <c r="B17" s="23" t="inlineStr">
        <is>
          <t>Optional 7i85</t>
        </is>
      </c>
      <c r="C17" s="23" t="inlineStr">
        <is>
          <t>Whether 7i85/7i85S is installed on day one</t>
        </is>
      </c>
      <c r="D17" s="23" t="inlineStr">
        <is>
          <t>Changes connector use and firmware needs.</t>
        </is>
      </c>
      <c r="E17" s="23" t="inlineStr">
        <is>
          <t>Optional / not required for base build</t>
        </is>
      </c>
      <c r="F17" s="23" t="n"/>
      <c r="G17" s="23" t="inlineStr">
        <is>
          <t>Decide before ordering/flashing firmware.</t>
        </is>
      </c>
      <c r="H17" s="23" t="inlineStr">
        <is>
          <t>Parts decision</t>
        </is>
      </c>
      <c r="I17" s="23" t="inlineStr">
        <is>
          <t>Firmware choice</t>
        </is>
      </c>
      <c r="J17" s="23" t="inlineStr">
        <is>
          <t>Optional</t>
        </is>
      </c>
      <c r="K17" s="23" t="inlineStr">
        <is>
          <t>Reserve space even if not installed initially.</t>
        </is>
      </c>
    </row>
    <row r="18" ht="42" customHeight="1" s="18">
      <c r="B18" s="31" t="inlineStr">
        <is>
          <t>Firmware</t>
        </is>
      </c>
      <c r="C18" s="31" t="inlineStr">
        <is>
          <t>Exact Mesa bitfile / firmware name</t>
        </is>
      </c>
      <c r="D18" s="31" t="inlineStr">
        <is>
          <t>HAL pins come from the loaded bitfile.</t>
        </is>
      </c>
      <c r="E18" s="31" t="inlineStr">
        <is>
          <t>6i25 + 7i77 + 7i84 or 6i25 + 7i77-only starter</t>
        </is>
      </c>
      <c r="F18" s="31" t="n"/>
      <c r="G18" s="31" t="inlineStr">
        <is>
          <t>Use Mesa firmware package/mesaflash list or Mesa support docs.</t>
        </is>
      </c>
      <c r="H18" s="31" t="inlineStr">
        <is>
          <t>mesaflash --device 6i25 --list</t>
        </is>
      </c>
      <c r="I18" s="31" t="inlineStr">
        <is>
          <t>Final HAL pin names</t>
        </is>
      </c>
      <c r="J18" s="31" t="inlineStr">
        <is>
          <t>Required</t>
        </is>
      </c>
      <c r="K18" s="31" t="inlineStr">
        <is>
          <t>Save a copy of the bitfile name and date.</t>
        </is>
      </c>
    </row>
    <row r="19" ht="42" customHeight="1" s="18">
      <c r="B19" s="31" t="inlineStr">
        <is>
          <t>Firmware</t>
        </is>
      </c>
      <c r="C19" s="31" t="inlineStr">
        <is>
          <t>Read HMID after flashing</t>
        </is>
      </c>
      <c r="D19" s="31" t="inlineStr">
        <is>
          <t>This is the actual authority for available pins/functions.</t>
        </is>
      </c>
      <c r="E19" s="31" t="inlineStr">
        <is>
          <t>TBD</t>
        </is>
      </c>
      <c r="F19" s="31" t="n"/>
      <c r="G19" s="31" t="inlineStr">
        <is>
          <t>Run readhmid and save output text.</t>
        </is>
      </c>
      <c r="H19" s="31" t="inlineStr">
        <is>
          <t>mesaflash --device 6i25 --readhmid &gt; mesa_readhmid.txt</t>
        </is>
      </c>
      <c r="I19" s="31" t="inlineStr">
        <is>
          <t>Final HAL pin names</t>
        </is>
      </c>
      <c r="J19" s="31" t="inlineStr">
        <is>
          <t>Required</t>
        </is>
      </c>
      <c r="K19" s="31" t="inlineStr">
        <is>
          <t>Share this output so HAL can be finalized.</t>
        </is>
      </c>
    </row>
    <row r="20" ht="42" customHeight="1" s="18">
      <c r="B20" s="31" t="inlineStr">
        <is>
          <t>Firmware</t>
        </is>
      </c>
      <c r="C20" s="31" t="inlineStr">
        <is>
          <t>Firmware backup / restore plan</t>
        </is>
      </c>
      <c r="D20" s="31" t="inlineStr">
        <is>
          <t>Lets you recover if a bitfile is wrong.</t>
        </is>
      </c>
      <c r="E20" s="31" t="inlineStr">
        <is>
          <t>Save original/current if card not blank</t>
        </is>
      </c>
      <c r="F20" s="31" t="n"/>
      <c r="G20" s="31" t="inlineStr">
        <is>
          <t>Read Mesa docs for backup if applicable; record current state.</t>
        </is>
      </c>
      <c r="H20" s="31" t="inlineStr">
        <is>
          <t>mesaflash documentation</t>
        </is>
      </c>
      <c r="I20" s="31" t="inlineStr">
        <is>
          <t>Safe firmware changes</t>
        </is>
      </c>
      <c r="J20" s="31" t="inlineStr">
        <is>
          <t>Recommended</t>
        </is>
      </c>
      <c r="K20" s="31" t="inlineStr">
        <is>
          <t>Do before flashing anything unknown.</t>
        </is>
      </c>
    </row>
    <row r="21" ht="42" customHeight="1" s="18">
      <c r="B21" s="31" t="inlineStr">
        <is>
          <t>LinuxCNC</t>
        </is>
      </c>
      <c r="C21" s="31" t="inlineStr">
        <is>
          <t>hm2 HAL pin dump</t>
        </is>
      </c>
      <c r="D21" s="31" t="inlineStr">
        <is>
          <t>Final HAL must match the real hm2 pin names exactly.</t>
        </is>
      </c>
      <c r="E21" s="31" t="inlineStr">
        <is>
          <t>hm2_6i25.0... expected</t>
        </is>
      </c>
      <c r="F21" s="31" t="n"/>
      <c r="G21" s="31" t="inlineStr">
        <is>
          <t>Load hostmot2/hm2_pci and dump pins after hardware is installed.</t>
        </is>
      </c>
      <c r="H21" s="31" t="inlineStr">
        <is>
          <t>halrun; loadrt hostmot2; loadrt hm2_pci config="..."; show pin hm2</t>
        </is>
      </c>
      <c r="I21" s="31" t="inlineStr">
        <is>
          <t>Final HAL files</t>
        </is>
      </c>
      <c r="J21" s="31" t="inlineStr">
        <is>
          <t>Required</t>
        </is>
      </c>
      <c r="K21" s="31" t="inlineStr">
        <is>
          <t>Save output to mesa_hal_pins.txt.</t>
        </is>
      </c>
    </row>
    <row r="22" ht="42" customHeight="1" s="18">
      <c r="B22" s="31" t="inlineStr">
        <is>
          <t>LinuxCNC</t>
        </is>
      </c>
      <c r="C22" s="31" t="inlineStr">
        <is>
          <t>Actual hm2 device name</t>
        </is>
      </c>
      <c r="D22" s="31" t="inlineStr">
        <is>
          <t>Could be hm2_5i25, hm2_6i25, etc. depending on card/driver.</t>
        </is>
      </c>
      <c r="E22" s="31" t="inlineStr">
        <is>
          <t>hm2_6i25.0</t>
        </is>
      </c>
      <c r="F22" s="31" t="n"/>
      <c r="G22" s="31" t="inlineStr">
        <is>
          <t>Check HAL pin dump.</t>
        </is>
      </c>
      <c r="H22" s="31" t="inlineStr">
        <is>
          <t>halcmd show pin hm2</t>
        </is>
      </c>
      <c r="I22" s="31" t="inlineStr">
        <is>
          <t>All HAL net lines</t>
        </is>
      </c>
      <c r="J22" s="31" t="inlineStr">
        <is>
          <t>Required</t>
        </is>
      </c>
      <c r="K22" s="31" t="inlineStr">
        <is>
          <t>Replace placeholders in all HAL files.</t>
        </is>
      </c>
    </row>
    <row r="23" ht="42" customHeight="1" s="18">
      <c r="B23" s="31" t="inlineStr">
        <is>
          <t>LinuxCNC</t>
        </is>
      </c>
      <c r="C23" s="31" t="inlineStr">
        <is>
          <t>sserial_port_0 config string</t>
        </is>
      </c>
      <c r="D23" s="31" t="inlineStr">
        <is>
          <t>Needed to make 7i84 / serial expansion devices appear.</t>
        </is>
      </c>
      <c r="E23" s="31" t="inlineStr">
        <is>
          <t>000000 placeholder</t>
        </is>
      </c>
      <c r="F23" s="31" t="n"/>
      <c r="G23" s="31" t="inlineStr">
        <is>
          <t>Determine from Mesa firmware and readhmid; test with halrun.</t>
        </is>
      </c>
      <c r="H23" s="31" t="inlineStr">
        <is>
          <t>loadrt hm2_pci config="... sserial_port_0=..."</t>
        </is>
      </c>
      <c r="I23" s="31" t="inlineStr">
        <is>
          <t>7i84 visibility</t>
        </is>
      </c>
      <c r="J23" s="31" t="inlineStr">
        <is>
          <t>Required</t>
        </is>
      </c>
      <c r="K23" s="31" t="inlineStr">
        <is>
          <t>Current skeleton uses placeholder only.</t>
        </is>
      </c>
    </row>
    <row r="24" ht="42" customHeight="1" s="18">
      <c r="B24" s="30" t="inlineStr">
        <is>
          <t>Network fallback</t>
        </is>
      </c>
      <c r="C24" s="30" t="inlineStr">
        <is>
          <t>Ethernet Mesa not primary</t>
        </is>
      </c>
      <c r="D24" s="30" t="inlineStr">
        <is>
          <t>Documents rejected path so it does not pollute the main plan.</t>
        </is>
      </c>
      <c r="E24" s="30" t="inlineStr">
        <is>
          <t>Fallback only</t>
        </is>
      </c>
      <c r="F24" s="30" t="n"/>
      <c r="G24" s="30" t="inlineStr">
        <is>
          <t>No action unless abandoning PCIe path.</t>
        </is>
      </c>
      <c r="H24" s="30" t="inlineStr">
        <is>
          <t>N/A</t>
        </is>
      </c>
      <c r="I24" s="30" t="inlineStr">
        <is>
          <t>None for selected architecture</t>
        </is>
      </c>
      <c r="J24" s="30" t="inlineStr">
        <is>
          <t>Done</t>
        </is>
      </c>
      <c r="K24" s="30" t="inlineStr">
        <is>
          <t>Keep Ethernet notes out of main HAL unless architecture changes.</t>
        </is>
      </c>
    </row>
    <row r="25" ht="42" customHeight="1" s="18">
      <c r="B25" s="31" t="inlineStr">
        <is>
          <t>Files to save</t>
        </is>
      </c>
      <c r="C25" s="31" t="inlineStr">
        <is>
          <t>mesa_readhmid.txt</t>
        </is>
      </c>
      <c r="D25" s="31" t="inlineStr">
        <is>
          <t>Captures firmware functions and pinout.</t>
        </is>
      </c>
      <c r="E25" s="31" t="inlineStr">
        <is>
          <t>Save in Mazak folder</t>
        </is>
      </c>
      <c r="F25" s="31" t="n"/>
      <c r="G25" s="31" t="inlineStr">
        <is>
          <t>Redirect mesaflash output to a text file.</t>
        </is>
      </c>
      <c r="H25" s="31" t="inlineStr">
        <is>
          <t>mesaflash --device 6i25 --readhmid &gt; mesa_readhmid.txt</t>
        </is>
      </c>
      <c r="I25" s="31" t="inlineStr">
        <is>
          <t>HAL finalization</t>
        </is>
      </c>
      <c r="J25" s="31" t="inlineStr">
        <is>
          <t>Required</t>
        </is>
      </c>
      <c r="K25" s="31" t="inlineStr">
        <is>
          <t>Put this in OneDrive Mazak folder.</t>
        </is>
      </c>
    </row>
    <row r="26" ht="42" customHeight="1" s="18">
      <c r="B26" s="31" t="inlineStr">
        <is>
          <t>Files to save</t>
        </is>
      </c>
      <c r="C26" s="31" t="inlineStr">
        <is>
          <t>mesa_hal_pins.txt</t>
        </is>
      </c>
      <c r="D26" s="31" t="inlineStr">
        <is>
          <t>Captures actual LinuxCNC HAL pin names.</t>
        </is>
      </c>
      <c r="E26" s="31" t="inlineStr">
        <is>
          <t>Save in Mazak folder</t>
        </is>
      </c>
      <c r="F26" s="31" t="n"/>
      <c r="G26" s="31" t="inlineStr">
        <is>
          <t>Run halcmd/halrun and redirect show pin output.</t>
        </is>
      </c>
      <c r="H26" s="31" t="inlineStr">
        <is>
          <t>halcmd show pin hm2 &gt; mesa_hal_pins.txt</t>
        </is>
      </c>
      <c r="I26" s="31" t="inlineStr">
        <is>
          <t>HAL finalization</t>
        </is>
      </c>
      <c r="J26" s="31" t="inlineStr">
        <is>
          <t>Required</t>
        </is>
      </c>
      <c r="K26" s="31" t="inlineStr">
        <is>
          <t>This is what I need to replace placeholders.</t>
        </is>
      </c>
    </row>
  </sheetData>
  <mergeCells count="1">
    <mergeCell ref="B2:K2"/>
  </mergeCells>
  <dataValidations count="1">
    <dataValidation sqref="J6:J26" showDropDown="0" showInputMessage="0" showErrorMessage="0" allowBlank="1" type="list" errorStyle="stop" operator="between">
      <formula1>"Required,Recommended,Optional,Done,Blocked,Not needed"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B2:I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17" min="1" max="1"/>
    <col width="12" customWidth="1" style="17" min="2" max="2"/>
    <col width="28" customWidth="1" style="17" min="3" max="3"/>
    <col width="46" customWidth="1" style="17" min="4" max="4"/>
    <col width="44" customWidth="1" style="17" min="5" max="5"/>
    <col width="34" customWidth="1" style="17" min="6" max="6"/>
    <col width="16" customWidth="1" style="17" min="7" max="7"/>
    <col width="36" customWidth="1" style="17" min="8" max="8"/>
  </cols>
  <sheetData>
    <row r="1" ht="42" customHeight="1" s="18"/>
    <row r="2" ht="27.75" customHeight="1" s="18">
      <c r="B2" s="28" t="inlineStr">
        <is>
          <t>Cabinet Photo Checklist for Mesa Ordering</t>
        </is>
      </c>
    </row>
    <row r="3" ht="42" customHeight="1" s="18">
      <c r="B3" s="20" t="inlineStr">
        <is>
          <t>Take wide shots first, then readable close-ups with wire numbers and terminal labels. This checklist targets the details needed to confirm Mesa card selection, firmware, I/O wiring, and HAL pin mapping.</t>
        </is>
      </c>
    </row>
    <row r="4" ht="42" customHeight="1" s="18"/>
    <row r="5" ht="42" customHeight="1" s="18">
      <c r="B5" s="29" t="inlineStr">
        <is>
          <t>Priority</t>
        </is>
      </c>
      <c r="C5" s="29" t="inlineStr">
        <is>
          <t>Photo / Area</t>
        </is>
      </c>
      <c r="D5" s="29" t="inlineStr">
        <is>
          <t>What to Capture</t>
        </is>
      </c>
      <c r="E5" s="29" t="inlineStr">
        <is>
          <t>Why It Matters</t>
        </is>
      </c>
      <c r="F5" s="29" t="inlineStr">
        <is>
          <t>Suggested File Name</t>
        </is>
      </c>
      <c r="G5" s="29" t="inlineStr">
        <is>
          <t>Done</t>
        </is>
      </c>
      <c r="H5" s="29" t="inlineStr">
        <is>
          <t>Notes</t>
        </is>
      </c>
    </row>
    <row r="6" ht="42" customHeight="1" s="18">
      <c r="B6" s="32" t="inlineStr">
        <is>
          <t>High</t>
        </is>
      </c>
      <c r="C6" s="32" t="inlineStr">
        <is>
          <t>Whole electrical cabinet</t>
        </is>
      </c>
      <c r="D6" s="32" t="inlineStr">
        <is>
          <t>Left, center, and right bays with doors open</t>
        </is>
      </c>
      <c r="E6" s="32" t="inlineStr">
        <is>
          <t>Confirms available space, PC location, wire duct, and card mounting areas.</t>
        </is>
      </c>
      <c r="F6" s="32" t="inlineStr">
        <is>
          <t>cabinet_wide_left_center_right_YYYY-MM-DD</t>
        </is>
      </c>
      <c r="G6" s="32" t="n"/>
      <c r="H6" s="32" t="inlineStr">
        <is>
          <t>Take pulled-back shots before close-ups.</t>
        </is>
      </c>
    </row>
    <row r="7" ht="42" customHeight="1" s="18">
      <c r="B7" s="32" t="inlineStr">
        <is>
          <t>High</t>
        </is>
      </c>
      <c r="C7" s="32" t="inlineStr">
        <is>
          <t>Former Mazatrol rack / PC area</t>
        </is>
      </c>
      <c r="D7" s="32" t="inlineStr">
        <is>
          <t>Rack space, mounting rails, power, airflow path, door clearance</t>
        </is>
      </c>
      <c r="E7" s="32" t="inlineStr">
        <is>
          <t>Confirms tower PC fit and service clearance.</t>
        </is>
      </c>
      <c r="F7" s="32" t="inlineStr">
        <is>
          <t>mazatrol_rack_pc_area_YYYY-MM-DD</t>
        </is>
      </c>
      <c r="G7" s="32" t="n"/>
      <c r="H7" s="32" t="inlineStr">
        <is>
          <t>Measure width/depth/height later.</t>
        </is>
      </c>
    </row>
    <row r="8" ht="42" customHeight="1" s="18">
      <c r="B8" s="32" t="inlineStr">
        <is>
          <t>High</t>
        </is>
      </c>
      <c r="C8" s="32" t="inlineStr">
        <is>
          <t>X/Y/Z servo amplifiers</t>
        </is>
      </c>
      <c r="D8" s="32" t="inlineStr">
        <is>
          <t>Drive labels, model numbers, terminal strips, command terminals, enable/fault terminals</t>
        </is>
      </c>
      <c r="E8" s="32" t="inlineStr">
        <is>
          <t>Confirms analog ±10 V compatibility and drive enable/fault wiring.</t>
        </is>
      </c>
      <c r="F8" s="32" t="inlineStr">
        <is>
          <t>xyz_servo_drive_terminals_YYYY-MM-DD</t>
        </is>
      </c>
      <c r="G8" s="32" t="n"/>
      <c r="H8" s="32" t="inlineStr">
        <is>
          <t>Take one photo per axis if possible.</t>
        </is>
      </c>
    </row>
    <row r="9" ht="42" customHeight="1" s="18">
      <c r="B9" s="32" t="inlineStr">
        <is>
          <t>High</t>
        </is>
      </c>
      <c r="C9" s="32" t="inlineStr">
        <is>
          <t>Axis motor / encoder wiring</t>
        </is>
      </c>
      <c r="D9" s="32" t="inlineStr">
        <is>
          <t>Encoder cable connectors, labels, pickup modules, motor nameplates if reachable</t>
        </is>
      </c>
      <c r="E9" s="32" t="inlineStr">
        <is>
          <t>Confirms encoder type, supply, pinout, and scale path.</t>
        </is>
      </c>
      <c r="F9" s="32" t="inlineStr">
        <is>
          <t>axis_encoder_connectors_YYYY-MM-DD</t>
        </is>
      </c>
      <c r="G9" s="32" t="n"/>
      <c r="H9" s="32" t="inlineStr">
        <is>
          <t>Do not unplug unless labeled and safe.</t>
        </is>
      </c>
    </row>
    <row r="10" ht="42" customHeight="1" s="18">
      <c r="B10" s="32" t="inlineStr">
        <is>
          <t>High</t>
        </is>
      </c>
      <c r="C10" s="32" t="inlineStr">
        <is>
          <t>Spindle FR-SX drive</t>
        </is>
      </c>
      <c r="D10" s="32" t="inlineStr">
        <is>
          <t>Model label, terminal strip, analog input, run/FWD/REV/enable/alarm terminals</t>
        </is>
      </c>
      <c r="E10" s="32" t="inlineStr">
        <is>
          <t>Confirms spindle speed command and digital control wiring.</t>
        </is>
      </c>
      <c r="F10" s="32" t="inlineStr">
        <is>
          <t>frsx_spindle_drive_terminals_YYYY-MM-DD</t>
        </is>
      </c>
      <c r="G10" s="32" t="n"/>
      <c r="H10" s="32" t="inlineStr">
        <is>
          <t>Need readable terminal labels.</t>
        </is>
      </c>
    </row>
    <row r="11" ht="42" customHeight="1" s="18">
      <c r="B11" s="32" t="inlineStr">
        <is>
          <t>High</t>
        </is>
      </c>
      <c r="C11" s="32" t="inlineStr">
        <is>
          <t>24 VDC supply</t>
        </is>
      </c>
      <c r="D11" s="32" t="inlineStr">
        <is>
          <t>HR-11F-24 terminals +S, +, -, -S, TOG, CNT, FG, L, N and destination wires</t>
        </is>
      </c>
      <c r="E11" s="32" t="inlineStr">
        <is>
          <t>Confirms P24/G24 distribution and remote sense/control wiring.</t>
        </is>
      </c>
      <c r="F11" s="32" t="inlineStr">
        <is>
          <t>hr11f24_supply_terminals_YYYY-MM-DD</t>
        </is>
      </c>
      <c r="G11" s="32" t="n"/>
      <c r="H11" s="32" t="inlineStr">
        <is>
          <t>Include pulled-back destination photo.</t>
        </is>
      </c>
    </row>
    <row r="12" ht="42" customHeight="1" s="18">
      <c r="B12" s="32" t="inlineStr">
        <is>
          <t>High</t>
        </is>
      </c>
      <c r="C12" s="32" t="inlineStr">
        <is>
          <t>P24/G24 terminal strips</t>
        </is>
      </c>
      <c r="D12" s="32" t="inlineStr">
        <is>
          <t>P24, G24, +24V, 0V jumpers, wire numbers, fuses</t>
        </is>
      </c>
      <c r="E12" s="32" t="inlineStr">
        <is>
          <t>Confirms Mesa field-power and I/O common strategy.</t>
        </is>
      </c>
      <c r="F12" s="32" t="inlineStr">
        <is>
          <t>p24_g24_terminal_strip_YYYY-MM-DD</t>
        </is>
      </c>
      <c r="G12" s="32" t="n"/>
      <c r="H12" s="32" t="inlineStr">
        <is>
          <t>Capture every jumper and branch fuse.</t>
        </is>
      </c>
    </row>
    <row r="13" ht="42" customHeight="1" s="18">
      <c r="B13" s="32" t="inlineStr">
        <is>
          <t>High</t>
        </is>
      </c>
      <c r="C13" s="32" t="inlineStr">
        <is>
          <t>Green breakout PCB</t>
        </is>
      </c>
      <c r="D13" s="32" t="inlineStr">
        <is>
          <t>Full board, connector names, YM VQC-20-40/50 label, circular plugs, D-sub connectors</t>
        </is>
      </c>
      <c r="E13" s="32" t="inlineStr">
        <is>
          <t>Decides whether to reuse the board as a junction or bypass to terminal blocks.</t>
        </is>
      </c>
      <c r="F13" s="32" t="inlineStr">
        <is>
          <t>green_breakout_pcb_YYYY-MM-DD</t>
        </is>
      </c>
      <c r="G13" s="32" t="n"/>
      <c r="H13" s="32" t="inlineStr">
        <is>
          <t>Take full-board and connector close-ups.</t>
        </is>
      </c>
    </row>
    <row r="14" ht="42" customHeight="1" s="18">
      <c r="B14" s="32" t="inlineStr">
        <is>
          <t>High</t>
        </is>
      </c>
      <c r="C14" s="32" t="inlineStr">
        <is>
          <t>Existing I/O terminal strips</t>
        </is>
      </c>
      <c r="D14" s="32" t="inlineStr">
        <is>
          <t>Labels such as INHRLS, DEC2, CH4, limits/home/ATC signals, wire numbers</t>
        </is>
      </c>
      <c r="E14" s="32" t="inlineStr">
        <is>
          <t>Maps real terminals to Mesa inputs/outputs.</t>
        </is>
      </c>
      <c r="F14" s="32" t="inlineStr">
        <is>
          <t>io_terminal_strips_YYYY-MM-DD</t>
        </is>
      </c>
      <c r="G14" s="32" t="n"/>
      <c r="H14" s="32" t="inlineStr">
        <is>
          <t>Best if each terminal number is readable.</t>
        </is>
      </c>
    </row>
    <row r="15" ht="42" customHeight="1" s="18">
      <c r="B15" s="32" t="inlineStr">
        <is>
          <t>High</t>
        </is>
      </c>
      <c r="C15" s="32" t="inlineStr">
        <is>
          <t>E-stop / safety chain hardware</t>
        </is>
      </c>
      <c r="D15" s="32" t="inlineStr">
        <is>
          <t>E-stop relays, door interlock wiring, servo contactor, ready chain relays</t>
        </is>
      </c>
      <c r="E15" s="32" t="inlineStr">
        <is>
          <t>Determines what stays hardwired and what LinuxCNC only monitors.</t>
        </is>
      </c>
      <c r="F15" s="32" t="inlineStr">
        <is>
          <t>estop_safety_chain_relays_YYYY-MM-DD</t>
        </is>
      </c>
      <c r="G15" s="32" t="n"/>
      <c r="H15" s="32" t="inlineStr">
        <is>
          <t>Do not alter before tracing.</t>
        </is>
      </c>
    </row>
    <row r="16" ht="42" customHeight="1" s="18">
      <c r="B16" s="31" t="inlineStr">
        <is>
          <t>Medium</t>
        </is>
      </c>
      <c r="C16" s="31" t="inlineStr">
        <is>
          <t>Tool clamp / drawbar valves</t>
        </is>
      </c>
      <c r="D16" s="31" t="inlineStr">
        <is>
          <t>Solenoid labels, coil voltage, terminal numbers, PRS-8/PRS-9 wiring</t>
        </is>
      </c>
      <c r="E16" s="31" t="inlineStr">
        <is>
          <t>Confirms ATC tool clamp/unclamp I/O.</t>
        </is>
      </c>
      <c r="F16" s="31" t="inlineStr">
        <is>
          <t>tool_clamp_valves_prs8_prs9_YYYY-MM-DD</t>
        </is>
      </c>
      <c r="G16" s="31" t="n"/>
      <c r="H16" s="31" t="inlineStr">
        <is>
          <t>Need coil voltage/current later.</t>
        </is>
      </c>
    </row>
    <row r="17" ht="42" customHeight="1" s="18">
      <c r="B17" s="31" t="inlineStr">
        <is>
          <t>Medium</t>
        </is>
      </c>
      <c r="C17" s="31" t="inlineStr">
        <is>
          <t>Spindle gear shift valves</t>
        </is>
      </c>
      <c r="D17" s="31" t="inlineStr">
        <is>
          <t>SOL-12/SOL-13 or related labels, PRS-10/PRS-12 wiring</t>
        </is>
      </c>
      <c r="E17" s="31" t="inlineStr">
        <is>
          <t>Confirms high/low gear logic and safe spindle interlocks.</t>
        </is>
      </c>
      <c r="F17" s="31" t="inlineStr">
        <is>
          <t>gear_shift_valves_prs10_prs12_YYYY-MM-DD</t>
        </is>
      </c>
      <c r="G17" s="31" t="n"/>
      <c r="H17" s="31" t="n"/>
    </row>
    <row r="18" ht="42" customHeight="1" s="18">
      <c r="B18" s="31" t="inlineStr">
        <is>
          <t>Medium</t>
        </is>
      </c>
      <c r="C18" s="31" t="inlineStr">
        <is>
          <t>Magazine hydraulics</t>
        </is>
      </c>
      <c r="D18" s="31" t="inlineStr">
        <is>
          <t>SOL-8A/SOL-8B, PRS-13, PRS-21 through PRS-25, cover switches/solenoids</t>
        </is>
      </c>
      <c r="E18" s="31" t="inlineStr">
        <is>
          <t>Confirms magazine rotation and tool-position bit logic.</t>
        </is>
      </c>
      <c r="F18" s="31" t="inlineStr">
        <is>
          <t>magazine_hydraulics_prs21_25_YYYY-MM-DD</t>
        </is>
      </c>
      <c r="G18" s="31" t="n"/>
      <c r="H18" s="31" t="inlineStr">
        <is>
          <t>Capture tool position prox labels.</t>
        </is>
      </c>
    </row>
    <row r="19" ht="42" customHeight="1" s="18">
      <c r="B19" s="31" t="inlineStr">
        <is>
          <t>Medium</t>
        </is>
      </c>
      <c r="C19" s="31" t="inlineStr">
        <is>
          <t>Coolant / air / utility outputs</t>
        </is>
      </c>
      <c r="D19" s="31" t="inlineStr">
        <is>
          <t>Coolant contactors, air blast valves, tap coolant, work light, relays</t>
        </is>
      </c>
      <c r="E19" s="31" t="inlineStr">
        <is>
          <t>Determines direct 7i84 output vs interposing relay needs.</t>
        </is>
      </c>
      <c r="F19" s="31" t="inlineStr">
        <is>
          <t>coolant_air_utility_relays_YYYY-MM-DD</t>
        </is>
      </c>
      <c r="G19" s="31" t="n"/>
      <c r="H19" s="31" t="n"/>
    </row>
    <row r="20" ht="42" customHeight="1" s="18">
      <c r="B20" s="31" t="inlineStr">
        <is>
          <t>Medium</t>
        </is>
      </c>
      <c r="C20" s="31" t="inlineStr">
        <is>
          <t>Cabinet grounding / shield bars</t>
        </is>
      </c>
      <c r="D20" s="31" t="inlineStr">
        <is>
          <t>PE bar, 0 V common bar, shield clamp areas, analog/encoder shield landings</t>
        </is>
      </c>
      <c r="E20" s="31" t="inlineStr">
        <is>
          <t>Prevents noise and ground-loop problems.</t>
        </is>
      </c>
      <c r="F20" s="31" t="inlineStr">
        <is>
          <t>ground_shield_common_bars_YYYY-MM-DD</t>
        </is>
      </c>
      <c r="G20" s="31" t="n"/>
      <c r="H20" s="31" t="inlineStr">
        <is>
          <t>Capture wire colors and shield drains.</t>
        </is>
      </c>
    </row>
    <row r="21" ht="42" customHeight="1" s="18">
      <c r="B21" s="31" t="inlineStr">
        <is>
          <t>Medium</t>
        </is>
      </c>
      <c r="C21" s="31" t="inlineStr">
        <is>
          <t>Available DIN rail / panel space</t>
        </is>
      </c>
      <c r="D21" s="31" t="inlineStr">
        <is>
          <t>Open rail length, wire duct space, door clearance around proposed 7i77/7i84 area</t>
        </is>
      </c>
      <c r="E21" s="31" t="inlineStr">
        <is>
          <t>Drives DIN rail, duct, terminal, and mounting parts list.</t>
        </is>
      </c>
      <c r="F21" s="31" t="inlineStr">
        <is>
          <t>din_rail_panel_space_YYYY-MM-DD</t>
        </is>
      </c>
      <c r="G21" s="31" t="n"/>
      <c r="H21" s="31" t="inlineStr">
        <is>
          <t>Include ruler/tape if possible.</t>
        </is>
      </c>
    </row>
    <row r="22" ht="42" customHeight="1" s="18">
      <c r="B22" s="30" t="inlineStr">
        <is>
          <t>Low</t>
        </is>
      </c>
      <c r="C22" s="30" t="inlineStr">
        <is>
          <t>Operator panel wiring</t>
        </is>
      </c>
      <c r="D22" s="30" t="inlineStr">
        <is>
          <t>Cycle start, feed hold, single block, overrides, lamps</t>
        </is>
      </c>
      <c r="E22" s="30" t="inlineStr">
        <is>
          <t>Helps decide which original panel controls to keep.</t>
        </is>
      </c>
      <c r="F22" s="30" t="inlineStr">
        <is>
          <t>operator_panel_wiring_YYYY-MM-DD</t>
        </is>
      </c>
      <c r="G22" s="30" t="n"/>
      <c r="H22" s="30" t="n"/>
    </row>
    <row r="23" ht="42" customHeight="1" s="18">
      <c r="B23" s="30" t="inlineStr">
        <is>
          <t>Low</t>
        </is>
      </c>
      <c r="C23" s="30" t="inlineStr">
        <is>
          <t>Cabinet schematic pockets / door labels</t>
        </is>
      </c>
      <c r="D23" s="30" t="inlineStr">
        <is>
          <t>Inside-door legends, terminal charts, paper schematics</t>
        </is>
      </c>
      <c r="E23" s="30" t="inlineStr">
        <is>
          <t>May save tracing time.</t>
        </is>
      </c>
      <c r="F23" s="30" t="inlineStr">
        <is>
          <t>cabinet_schematic_labels_YYYY-MM-DD</t>
        </is>
      </c>
      <c r="G23" s="30" t="n"/>
      <c r="H23" s="30" t="n"/>
    </row>
    <row r="24" ht="42" customHeight="1" s="18">
      <c r="B24" s="32" t="inlineStr">
        <is>
          <t>High</t>
        </is>
      </c>
      <c r="C24" s="32" t="inlineStr">
        <is>
          <t>Slow video sweep</t>
        </is>
      </c>
      <c r="D24" s="32" t="inlineStr">
        <is>
          <t>Start wide, move left to right, pause at each drive/terminal/relay/breakout board</t>
        </is>
      </c>
      <c r="E24" s="32" t="inlineStr">
        <is>
          <t>Provides context between close-ups and device locations.</t>
        </is>
      </c>
      <c r="F24" s="32" t="inlineStr">
        <is>
          <t>cabinet_video_sweep_YYYY-MM-DD</t>
        </is>
      </c>
      <c r="G24" s="32" t="n"/>
      <c r="H24" s="32" t="inlineStr">
        <is>
          <t>Narrate what each section is if possible.</t>
        </is>
      </c>
    </row>
  </sheetData>
  <mergeCells count="1">
    <mergeCell ref="B2:I2"/>
  </mergeCells>
  <dataValidations count="1">
    <dataValidation sqref="G6:G24" showDropDown="0" showInputMessage="0" showErrorMessage="0" allowBlank="1" type="list" errorStyle="stop" operator="between">
      <formula1>"Not started,Done,Retake needed,N/A"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B2:K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17" min="1" max="1"/>
    <col width="48" customWidth="1" style="17" min="2" max="2"/>
    <col width="36.3" customWidth="1" style="17" min="3" max="3"/>
    <col width="25.51" customWidth="1" style="17" min="4" max="4"/>
    <col width="41.7" customWidth="1" style="17" min="5" max="5"/>
    <col width="48" customWidth="1" style="17" min="6" max="9"/>
    <col width="21" customWidth="1" style="17" min="10" max="10"/>
    <col width="48" customWidth="1" style="17" min="11" max="11"/>
  </cols>
  <sheetData>
    <row r="1" ht="27.75" customHeight="1" s="18"/>
    <row r="2" ht="27.75" customHeight="1" s="18">
      <c r="B2" s="19" t="inlineStr">
        <is>
          <t>Motion and Axis Requirements</t>
        </is>
      </c>
    </row>
    <row r="3" ht="27.75" customHeight="1" s="18">
      <c r="B3" s="20" t="inlineStr">
        <is>
          <t>All motion requirements extracted from the available Mazak/Mesa retrofit notes. The actual drive command polarity, encoder type, and scale must be measured before live motion.</t>
        </is>
      </c>
    </row>
    <row r="4" ht="27.75" customHeight="1" s="18"/>
    <row r="5" ht="27.75" customHeight="1" s="18">
      <c r="B5" s="21" t="inlineStr">
        <is>
          <t>Axis / Device</t>
        </is>
      </c>
      <c r="C5" s="21" t="inlineStr">
        <is>
          <t>Control Type</t>
        </is>
      </c>
      <c r="D5" s="21" t="inlineStr">
        <is>
          <t>Command Channel</t>
        </is>
      </c>
      <c r="E5" s="21" t="inlineStr">
        <is>
          <t>Feedback Channel</t>
        </is>
      </c>
      <c r="F5" s="21" t="inlineStr">
        <is>
          <t>Existing Hardware</t>
        </is>
      </c>
      <c r="G5" s="21" t="inlineStr">
        <is>
          <t>LinuxCNC Requirement</t>
        </is>
      </c>
      <c r="H5" s="21" t="inlineStr">
        <is>
          <t>Interlocks / Dependencies</t>
        </is>
      </c>
      <c r="I5" s="21" t="inlineStr">
        <is>
          <t>Bring-up Test</t>
        </is>
      </c>
      <c r="J5" s="21" t="inlineStr">
        <is>
          <t>Status</t>
        </is>
      </c>
      <c r="K5" s="21" t="inlineStr">
        <is>
          <t>Notes</t>
        </is>
      </c>
    </row>
    <row r="6" ht="27.75" customHeight="1" s="18">
      <c r="B6" s="22" t="inlineStr">
        <is>
          <t>X axis</t>
        </is>
      </c>
      <c r="C6" s="22" t="inlineStr">
        <is>
          <t>Analog servo</t>
        </is>
      </c>
      <c r="D6" s="23" t="inlineStr">
        <is>
          <t>7i77 AO0, ±10 V</t>
        </is>
      </c>
      <c r="E6" s="22" t="inlineStr">
        <is>
          <t>7i77 ENC0</t>
        </is>
      </c>
      <c r="F6" s="23" t="inlineStr">
        <is>
          <t>Mitsubishi DC permanent-magnet servo / drive</t>
        </is>
      </c>
      <c r="G6" s="23" t="inlineStr">
        <is>
          <t>Closed-loop joint.0 PID using encoder feedback; home on LS-42; limits into joint limit pins.</t>
        </is>
      </c>
      <c r="H6" s="23" t="inlineStr">
        <is>
          <t>X drive enable, X drive fault, estop chain, servo power contactor</t>
        </is>
      </c>
      <c r="I6" s="23" t="inlineStr">
        <is>
          <t>Verify encoder counts and direction with drive disabled; enable at low gain; jog slowly; confirm limits/home.</t>
        </is>
      </c>
      <c r="J6" s="23" t="inlineStr">
        <is>
          <t>Inferred / likely</t>
        </is>
      </c>
      <c r="K6" s="23" t="inlineStr">
        <is>
          <t>±10 V analog is likely from retrofit notes but must be confirmed at drive terminals.</t>
        </is>
      </c>
    </row>
    <row r="7" ht="27.75" customHeight="1" s="18">
      <c r="B7" s="22" t="inlineStr">
        <is>
          <t>Y axis</t>
        </is>
      </c>
      <c r="C7" s="22" t="inlineStr">
        <is>
          <t>Analog servo</t>
        </is>
      </c>
      <c r="D7" s="23" t="inlineStr">
        <is>
          <t>7i77 AO1, ±10 V</t>
        </is>
      </c>
      <c r="E7" s="22" t="inlineStr">
        <is>
          <t>7i77 ENC1</t>
        </is>
      </c>
      <c r="F7" s="23" t="inlineStr">
        <is>
          <t>Mitsubishi DC servo / drive</t>
        </is>
      </c>
      <c r="G7" s="23" t="inlineStr">
        <is>
          <t>Closed-loop joint.1 PID; home on LS-52; limits into joint pins.</t>
        </is>
      </c>
      <c r="H7" s="23" t="inlineStr">
        <is>
          <t>Y drive enable, Y drive fault, estop chain</t>
        </is>
      </c>
      <c r="I7" s="23" t="inlineStr">
        <is>
          <t>Same as X; verify home direction and Y ATC zone signal if present.</t>
        </is>
      </c>
      <c r="J7" s="23" t="inlineStr">
        <is>
          <t>Inferred / likely</t>
        </is>
      </c>
      <c r="K7" s="23" t="inlineStr">
        <is>
          <t>Confirm encoder wiring and drive command polarity.</t>
        </is>
      </c>
    </row>
    <row r="8" ht="27.75" customHeight="1" s="18">
      <c r="B8" s="22" t="inlineStr">
        <is>
          <t>Z axis</t>
        </is>
      </c>
      <c r="C8" s="22" t="inlineStr">
        <is>
          <t>Analog servo</t>
        </is>
      </c>
      <c r="D8" s="23" t="inlineStr">
        <is>
          <t>7i77 AO2, ±10 V</t>
        </is>
      </c>
      <c r="E8" s="22" t="inlineStr">
        <is>
          <t>7i77 ENC2</t>
        </is>
      </c>
      <c r="F8" s="23" t="inlineStr">
        <is>
          <t>Mitsubishi DC servo / drive</t>
        </is>
      </c>
      <c r="G8" s="23" t="inlineStr">
        <is>
          <t>Closed-loop joint.2 PID; home on LS-62; limits into joint pins.</t>
        </is>
      </c>
      <c r="H8" s="23" t="inlineStr">
        <is>
          <t>Z drive enable, Z drive fault, estop chain, hydraulic/toolchanger safe state</t>
        </is>
      </c>
      <c r="I8" s="23" t="inlineStr">
        <is>
          <t>Support head/tooling as needed; verify brake/counterbalance behavior before enabling motion.</t>
        </is>
      </c>
      <c r="J8" s="23" t="inlineStr">
        <is>
          <t>Inferred / likely</t>
        </is>
      </c>
      <c r="K8" s="23" t="inlineStr">
        <is>
          <t>Confirm Z brake or hydraulic dependencies if present.</t>
        </is>
      </c>
    </row>
    <row r="9" ht="27.75" customHeight="1" s="18">
      <c r="B9" s="22" t="inlineStr">
        <is>
          <t>Spindle</t>
        </is>
      </c>
      <c r="C9" s="23" t="inlineStr">
        <is>
          <t>Analog speed + digital run/dir/enable</t>
        </is>
      </c>
      <c r="D9" s="23" t="inlineStr">
        <is>
          <t>7i77 AO3, 0-10 V or ±10 V</t>
        </is>
      </c>
      <c r="E9" s="23" t="inlineStr">
        <is>
          <t>7i77 ENC3 or pickup input</t>
        </is>
      </c>
      <c r="F9" s="23" t="inlineStr">
        <is>
          <t>Mitsubishi FR-SX spindle controller and AC spindle motor</t>
        </is>
      </c>
      <c r="G9" s="23" t="inlineStr">
        <is>
          <t>spindle.0 speed command, enable, direction, optional encoder for threading/orient/rigid tapping.</t>
        </is>
      </c>
      <c r="H9" s="23" t="inlineStr">
        <is>
          <t>FR-SX alarm, zero-speed/at-speed, gear high/low confirmation, orient OK</t>
        </is>
      </c>
      <c r="I9" s="23" t="inlineStr">
        <is>
          <t>Command low RPM with belt/gear safe; verify analog scaling, direction, zero-speed, at-speed.</t>
        </is>
      </c>
      <c r="J9" s="23" t="inlineStr">
        <is>
          <t>Verify in cabinet</t>
        </is>
      </c>
      <c r="K9" s="23" t="inlineStr">
        <is>
          <t>FR-SX terminal mode and analog scaling must be checked against drive manual and measured.</t>
        </is>
      </c>
    </row>
    <row r="10" ht="27.75" customHeight="1" s="18">
      <c r="B10" s="22" t="inlineStr">
        <is>
          <t>Magazine / ATC</t>
        </is>
      </c>
      <c r="C10" s="23" t="inlineStr">
        <is>
          <t>Discrete sequence</t>
        </is>
      </c>
      <c r="D10" s="22" t="inlineStr">
        <is>
          <t>7i84 outputs</t>
        </is>
      </c>
      <c r="E10" s="23" t="inlineStr">
        <is>
          <t>7i84 inputs PRS-8/9/13/21-25 plus ATC zones</t>
        </is>
      </c>
      <c r="F10" s="23" t="inlineStr">
        <is>
          <t>Hydraulic magazine/tool clamp system</t>
        </is>
      </c>
      <c r="G10" s="23" t="inlineStr">
        <is>
          <t>HAL/ClassicLadder or component sequence for clamp/unclamp, magazine CW/CCW, tool code decode, safe positions.</t>
        </is>
      </c>
      <c r="H10" s="23" t="inlineStr">
        <is>
          <t>Tool clamped/unclamped, mag in-position, Y/Z ATC zones, spindle orient, hydraulic pressure OK</t>
        </is>
      </c>
      <c r="I10" s="23" t="inlineStr">
        <is>
          <t>Dry-run with spindle stopped and tool removed; verify every prox and solenoid one at a time.</t>
        </is>
      </c>
      <c r="J10" s="23" t="inlineStr">
        <is>
          <t>Confirmed from notes</t>
        </is>
      </c>
      <c r="K10" s="23" t="inlineStr">
        <is>
          <t>Exact magazine tool-bit count and cover functions must be verified.</t>
        </is>
      </c>
    </row>
    <row r="11" ht="27.75" customHeight="1" s="18">
      <c r="B11" s="22" t="inlineStr">
        <is>
          <t>Pendant</t>
        </is>
      </c>
      <c r="C11" s="22" t="inlineStr">
        <is>
          <t>USB HAL input</t>
        </is>
      </c>
      <c r="D11" s="23" t="inlineStr">
        <is>
          <t>LinuxCNC USB driver</t>
        </is>
      </c>
      <c r="E11" s="22" t="inlineStr">
        <is>
          <t>N/A</t>
        </is>
      </c>
      <c r="F11" s="23" t="inlineStr">
        <is>
          <t>Optional WHB04B-style wireless USB pendant</t>
        </is>
      </c>
      <c r="G11" s="23" t="inlineStr">
        <is>
          <t>Map jog, feed/spindle override, start/stop/home to HAL nets.</t>
        </is>
      </c>
      <c r="H11" s="23" t="inlineStr">
        <is>
          <t>Do not bypass hardware estop; pendant estop should only feed logic unless proven safety-rated.</t>
        </is>
      </c>
      <c r="I11" s="23" t="inlineStr">
        <is>
          <t>Test jog increments with machine disabled first, then low-speed enabled jog.</t>
        </is>
      </c>
      <c r="J11" s="22" t="inlineStr">
        <is>
          <t>Optional</t>
        </is>
      </c>
      <c r="K11" s="23" t="inlineStr">
        <is>
          <t>No Mesa card required; use USB extension for receiver placement.</t>
        </is>
      </c>
    </row>
  </sheetData>
  <autoFilter ref="B5:K11"/>
  <mergeCells count="1">
    <mergeCell ref="B2:K2"/>
  </mergeCells>
  <conditionalFormatting sqref="B6:Z11">
    <cfRule type="expression" rank="0" priority="2" equalAverage="0" aboveAverage="0" dxfId="7" text="" percent="0" bottom="0">
      <formula>$J6="Confirmed from notes"</formula>
    </cfRule>
    <cfRule type="expression" rank="0" priority="3" equalAverage="0" aboveAverage="0" dxfId="8" text="" percent="0" bottom="0">
      <formula>$J6="Inferred / likely"</formula>
    </cfRule>
    <cfRule type="expression" rank="0" priority="4" equalAverage="0" aboveAverage="0" dxfId="8" text="" percent="0" bottom="0">
      <formula>$J6="Verify in cabinet"</formula>
    </cfRule>
    <cfRule type="expression" rank="0" priority="5" equalAverage="0" aboveAverage="0" dxfId="8" text="" percent="0" bottom="0">
      <formula>$J6="Measure before buying"</formula>
    </cfRule>
    <cfRule type="expression" rank="0" priority="6" equalAverage="0" aboveAverage="0" dxfId="9" text="" percent="0" bottom="0">
      <formula>$J6="Optional"</formula>
    </cfRule>
  </conditionalFormatting>
  <dataValidations count="1">
    <dataValidation sqref="J6:J11" showDropDown="0" showInputMessage="0" showErrorMessage="0" allowBlank="1" type="list" errorStyle="stop" operator="between">
      <formula1>"Confirmed from notes,Inferred / likely,Verify in cabinet,Measure before buying,Optional,TBD"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B2:N8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17" min="1" max="1"/>
    <col width="40" customWidth="1" style="17" min="2" max="2"/>
    <col width="25.51" customWidth="1" style="17" min="3" max="3"/>
    <col width="17.4" customWidth="1" style="17" min="4" max="4"/>
    <col width="40" customWidth="1" style="17" min="5" max="6"/>
    <col width="12" customWidth="1" style="17" min="7" max="7"/>
    <col width="15.6" customWidth="1" style="17" min="8" max="9"/>
    <col width="19.2" customWidth="1" style="17" min="10" max="10"/>
    <col width="21" customWidth="1" style="17" min="11" max="11"/>
    <col width="40" customWidth="1" style="17" min="12" max="12"/>
    <col width="21" customWidth="1" style="17" min="13" max="13"/>
    <col width="40" customWidth="1" style="17" min="14" max="14"/>
  </cols>
  <sheetData>
    <row r="1" ht="27.75" customHeight="1" s="18"/>
    <row r="2" ht="27.75" customHeight="1" s="18">
      <c r="B2" s="19" t="inlineStr">
        <is>
          <t>Master I/O and Control Signal List</t>
        </is>
      </c>
    </row>
    <row r="3" ht="27.75" customHeight="1" s="18">
      <c r="B3" s="20" t="inlineStr">
        <is>
          <t>This is the working master map. Filter by Mesa Card, Direction, Subsystem, or Status. Update connector/bit values after selecting exact Mesa cards and tracing the cabinet.</t>
        </is>
      </c>
    </row>
    <row r="4" ht="27.75" customHeight="1" s="18"/>
    <row r="5" ht="27.75" customHeight="1" s="18">
      <c r="B5" s="21" t="inlineStr">
        <is>
          <t>Machine Signal Name</t>
        </is>
      </c>
      <c r="C5" s="21" t="inlineStr">
        <is>
          <t>Mazak Label / Drawing Ref</t>
        </is>
      </c>
      <c r="D5" s="21" t="inlineStr">
        <is>
          <t>Subsystem</t>
        </is>
      </c>
      <c r="E5" s="21" t="inlineStr">
        <is>
          <t>Function</t>
        </is>
      </c>
      <c r="F5" s="21" t="inlineStr">
        <is>
          <t>Normal State / Type</t>
        </is>
      </c>
      <c r="G5" s="21" t="inlineStr">
        <is>
          <t>Direction</t>
        </is>
      </c>
      <c r="H5" s="21" t="inlineStr">
        <is>
          <t>Mesa Card</t>
        </is>
      </c>
      <c r="I5" s="21" t="inlineStr">
        <is>
          <t>Mesa Conn</t>
        </is>
      </c>
      <c r="J5" s="21" t="inlineStr">
        <is>
          <t>Mesa Bit / Channel</t>
        </is>
      </c>
      <c r="K5" s="21" t="inlineStr">
        <is>
          <t>LinuxCNC HAL Net</t>
        </is>
      </c>
      <c r="L5" s="21" t="inlineStr">
        <is>
          <t>Cabinet Landing / Origin</t>
        </is>
      </c>
      <c r="M5" s="21" t="inlineStr">
        <is>
          <t>Status</t>
        </is>
      </c>
      <c r="N5" s="21" t="inlineStr">
        <is>
          <t>Notes</t>
        </is>
      </c>
    </row>
    <row r="6" ht="27.75" customHeight="1" s="18">
      <c r="B6" s="22" t="inlineStr">
        <is>
          <t>X_AXIS_CMD</t>
        </is>
      </c>
      <c r="C6" s="22" t="n"/>
      <c r="D6" s="22" t="inlineStr">
        <is>
          <t>Motion</t>
        </is>
      </c>
      <c r="E6" s="23" t="inlineStr">
        <is>
          <t>X servo analog command</t>
        </is>
      </c>
      <c r="F6" s="22" t="inlineStr">
        <is>
          <t>±10 V</t>
        </is>
      </c>
      <c r="G6" s="22" t="inlineStr">
        <is>
          <t>ANALOG OUT</t>
        </is>
      </c>
      <c r="H6" s="22" t="inlineStr">
        <is>
          <t>7i77</t>
        </is>
      </c>
      <c r="I6" s="22" t="inlineStr">
        <is>
          <t>Analog TB</t>
        </is>
      </c>
      <c r="J6" s="22" t="inlineStr">
        <is>
          <t>AO0</t>
        </is>
      </c>
      <c r="K6" s="22" t="inlineStr">
        <is>
          <t>x-vel-cmd</t>
        </is>
      </c>
      <c r="L6" s="23" t="inlineStr">
        <is>
          <t>X servo amp command input</t>
        </is>
      </c>
      <c r="M6" s="23" t="inlineStr">
        <is>
          <t>Inferred / likely</t>
        </is>
      </c>
      <c r="N6" s="23" t="inlineStr">
        <is>
          <t>Confirm velocity/torque input terminals and polarity.</t>
        </is>
      </c>
    </row>
    <row r="7" ht="27.75" customHeight="1" s="18">
      <c r="B7" s="22" t="inlineStr">
        <is>
          <t>Y_AXIS_CMD</t>
        </is>
      </c>
      <c r="C7" s="22" t="n"/>
      <c r="D7" s="22" t="inlineStr">
        <is>
          <t>Motion</t>
        </is>
      </c>
      <c r="E7" s="23" t="inlineStr">
        <is>
          <t>Y servo analog command</t>
        </is>
      </c>
      <c r="F7" s="22" t="inlineStr">
        <is>
          <t>±10 V</t>
        </is>
      </c>
      <c r="G7" s="22" t="inlineStr">
        <is>
          <t>ANALOG OUT</t>
        </is>
      </c>
      <c r="H7" s="22" t="inlineStr">
        <is>
          <t>7i77</t>
        </is>
      </c>
      <c r="I7" s="22" t="inlineStr">
        <is>
          <t>Analog TB</t>
        </is>
      </c>
      <c r="J7" s="22" t="inlineStr">
        <is>
          <t>AO1</t>
        </is>
      </c>
      <c r="K7" s="22" t="inlineStr">
        <is>
          <t>y-vel-cmd</t>
        </is>
      </c>
      <c r="L7" s="23" t="inlineStr">
        <is>
          <t>Y servo amp command input</t>
        </is>
      </c>
      <c r="M7" s="23" t="inlineStr">
        <is>
          <t>Inferred / likely</t>
        </is>
      </c>
      <c r="N7" s="22" t="n"/>
    </row>
    <row r="8" ht="27.75" customHeight="1" s="18">
      <c r="B8" s="22" t="inlineStr">
        <is>
          <t>Z_AXIS_CMD</t>
        </is>
      </c>
      <c r="C8" s="22" t="n"/>
      <c r="D8" s="22" t="inlineStr">
        <is>
          <t>Motion</t>
        </is>
      </c>
      <c r="E8" s="23" t="inlineStr">
        <is>
          <t>Z servo analog command</t>
        </is>
      </c>
      <c r="F8" s="22" t="inlineStr">
        <is>
          <t>±10 V</t>
        </is>
      </c>
      <c r="G8" s="22" t="inlineStr">
        <is>
          <t>ANALOG OUT</t>
        </is>
      </c>
      <c r="H8" s="22" t="inlineStr">
        <is>
          <t>7i77</t>
        </is>
      </c>
      <c r="I8" s="22" t="inlineStr">
        <is>
          <t>Analog TB</t>
        </is>
      </c>
      <c r="J8" s="22" t="inlineStr">
        <is>
          <t>AO2</t>
        </is>
      </c>
      <c r="K8" s="22" t="inlineStr">
        <is>
          <t>z-vel-cmd</t>
        </is>
      </c>
      <c r="L8" s="23" t="inlineStr">
        <is>
          <t>Z servo amp command input</t>
        </is>
      </c>
      <c r="M8" s="23" t="inlineStr">
        <is>
          <t>Inferred / likely</t>
        </is>
      </c>
      <c r="N8" s="22" t="n"/>
    </row>
    <row r="9" ht="27.75" customHeight="1" s="18">
      <c r="B9" s="23" t="inlineStr">
        <is>
          <t>SPINDLE_SPEED_CMD</t>
        </is>
      </c>
      <c r="C9" s="22" t="n"/>
      <c r="D9" s="22" t="inlineStr">
        <is>
          <t>Spindle</t>
        </is>
      </c>
      <c r="E9" s="23" t="inlineStr">
        <is>
          <t>FR-SX speed reference</t>
        </is>
      </c>
      <c r="F9" s="23" t="inlineStr">
        <is>
          <t>0-10 V or ±10 V</t>
        </is>
      </c>
      <c r="G9" s="22" t="inlineStr">
        <is>
          <t>ANALOG OUT</t>
        </is>
      </c>
      <c r="H9" s="22" t="inlineStr">
        <is>
          <t>7i77</t>
        </is>
      </c>
      <c r="I9" s="22" t="inlineStr">
        <is>
          <t>Analog TB</t>
        </is>
      </c>
      <c r="J9" s="22" t="inlineStr">
        <is>
          <t>AO3</t>
        </is>
      </c>
      <c r="K9" s="23" t="inlineStr">
        <is>
          <t>spindle-speed-cmd</t>
        </is>
      </c>
      <c r="L9" s="23" t="inlineStr">
        <is>
          <t>FR-SX analog speed input</t>
        </is>
      </c>
      <c r="M9" s="23" t="inlineStr">
        <is>
          <t>Verify in cabinet</t>
        </is>
      </c>
      <c r="N9" s="23" t="inlineStr">
        <is>
          <t>Check FR-SX scaling and isolated/common reference.</t>
        </is>
      </c>
    </row>
    <row r="10" ht="27.75" customHeight="1" s="18">
      <c r="B10" s="22" t="inlineStr">
        <is>
          <t>X_ENCODER</t>
        </is>
      </c>
      <c r="C10" s="22" t="n"/>
      <c r="D10" s="22" t="inlineStr">
        <is>
          <t>Motion</t>
        </is>
      </c>
      <c r="E10" s="23" t="inlineStr">
        <is>
          <t>X encoder feedback</t>
        </is>
      </c>
      <c r="F10" s="23" t="inlineStr">
        <is>
          <t>Differential quadrature + index if present</t>
        </is>
      </c>
      <c r="G10" s="22" t="inlineStr">
        <is>
          <t>ENCODER IN</t>
        </is>
      </c>
      <c r="H10" s="22" t="inlineStr">
        <is>
          <t>7i77</t>
        </is>
      </c>
      <c r="I10" s="22" t="inlineStr">
        <is>
          <t>Encoder TB</t>
        </is>
      </c>
      <c r="J10" s="22" t="inlineStr">
        <is>
          <t>ENC0</t>
        </is>
      </c>
      <c r="K10" s="22" t="inlineStr">
        <is>
          <t>x-pos-fb</t>
        </is>
      </c>
      <c r="L10" s="23" t="inlineStr">
        <is>
          <t>X motor encoder</t>
        </is>
      </c>
      <c r="M10" s="23" t="inlineStr">
        <is>
          <t>Verify in cabinet</t>
        </is>
      </c>
      <c r="N10" s="23" t="inlineStr">
        <is>
          <t>Identify A/B/Z, supply voltage, shield, counts/rev.</t>
        </is>
      </c>
    </row>
    <row r="11" ht="27.75" customHeight="1" s="18">
      <c r="B11" s="22" t="inlineStr">
        <is>
          <t>Y_ENCODER</t>
        </is>
      </c>
      <c r="C11" s="22" t="n"/>
      <c r="D11" s="22" t="inlineStr">
        <is>
          <t>Motion</t>
        </is>
      </c>
      <c r="E11" s="23" t="inlineStr">
        <is>
          <t>Y encoder feedback</t>
        </is>
      </c>
      <c r="F11" s="23" t="inlineStr">
        <is>
          <t>Differential quadrature + index if present</t>
        </is>
      </c>
      <c r="G11" s="22" t="inlineStr">
        <is>
          <t>ENCODER IN</t>
        </is>
      </c>
      <c r="H11" s="22" t="inlineStr">
        <is>
          <t>7i77</t>
        </is>
      </c>
      <c r="I11" s="22" t="inlineStr">
        <is>
          <t>Encoder TB</t>
        </is>
      </c>
      <c r="J11" s="22" t="inlineStr">
        <is>
          <t>ENC1</t>
        </is>
      </c>
      <c r="K11" s="22" t="inlineStr">
        <is>
          <t>y-pos-fb</t>
        </is>
      </c>
      <c r="L11" s="23" t="inlineStr">
        <is>
          <t>Y motor encoder</t>
        </is>
      </c>
      <c r="M11" s="23" t="inlineStr">
        <is>
          <t>Verify in cabinet</t>
        </is>
      </c>
      <c r="N11" s="22" t="n"/>
    </row>
    <row r="12" ht="27.75" customHeight="1" s="18">
      <c r="B12" s="22" t="inlineStr">
        <is>
          <t>Z_ENCODER</t>
        </is>
      </c>
      <c r="C12" s="22" t="n"/>
      <c r="D12" s="22" t="inlineStr">
        <is>
          <t>Motion</t>
        </is>
      </c>
      <c r="E12" s="23" t="inlineStr">
        <is>
          <t>Z encoder feedback</t>
        </is>
      </c>
      <c r="F12" s="23" t="inlineStr">
        <is>
          <t>Differential quadrature + index if present</t>
        </is>
      </c>
      <c r="G12" s="22" t="inlineStr">
        <is>
          <t>ENCODER IN</t>
        </is>
      </c>
      <c r="H12" s="22" t="inlineStr">
        <is>
          <t>7i77</t>
        </is>
      </c>
      <c r="I12" s="22" t="inlineStr">
        <is>
          <t>Encoder TB</t>
        </is>
      </c>
      <c r="J12" s="22" t="inlineStr">
        <is>
          <t>ENC2</t>
        </is>
      </c>
      <c r="K12" s="22" t="inlineStr">
        <is>
          <t>z-pos-fb</t>
        </is>
      </c>
      <c r="L12" s="23" t="inlineStr">
        <is>
          <t>Z motor encoder</t>
        </is>
      </c>
      <c r="M12" s="23" t="inlineStr">
        <is>
          <t>Verify in cabinet</t>
        </is>
      </c>
      <c r="N12" s="22" t="n"/>
    </row>
    <row r="13" ht="27.75" customHeight="1" s="18">
      <c r="B13" s="23" t="inlineStr">
        <is>
          <t>SPINDLE_ENCODER</t>
        </is>
      </c>
      <c r="C13" s="22" t="n"/>
      <c r="D13" s="22" t="inlineStr">
        <is>
          <t>Spindle</t>
        </is>
      </c>
      <c r="E13" s="23" t="inlineStr">
        <is>
          <t>Spindle pickup/encoder</t>
        </is>
      </c>
      <c r="F13" s="23" t="inlineStr">
        <is>
          <t>Differential or pickup TBD</t>
        </is>
      </c>
      <c r="G13" s="22" t="inlineStr">
        <is>
          <t>ENCODER IN</t>
        </is>
      </c>
      <c r="H13" s="22" t="inlineStr">
        <is>
          <t>7i77</t>
        </is>
      </c>
      <c r="I13" s="22" t="inlineStr">
        <is>
          <t>Encoder TB</t>
        </is>
      </c>
      <c r="J13" s="22" t="inlineStr">
        <is>
          <t>ENC3</t>
        </is>
      </c>
      <c r="K13" s="22" t="inlineStr">
        <is>
          <t>spindle-pos-fb</t>
        </is>
      </c>
      <c r="L13" s="23" t="inlineStr">
        <is>
          <t>Tamagawa pickup / spindle encoder</t>
        </is>
      </c>
      <c r="M13" s="23" t="inlineStr">
        <is>
          <t>Verify in cabinet</t>
        </is>
      </c>
      <c r="N13" s="23" t="inlineStr">
        <is>
          <t>Confirm whether quadrature encoder, magnetic pickup, or proprietary signal.</t>
        </is>
      </c>
    </row>
    <row r="14" ht="27.75" customHeight="1" s="18">
      <c r="B14" s="22" t="inlineStr">
        <is>
          <t>X_HOME</t>
        </is>
      </c>
      <c r="C14" s="22" t="inlineStr">
        <is>
          <t>LS-42</t>
        </is>
      </c>
      <c r="D14" s="22" t="inlineStr">
        <is>
          <t>Axis safety</t>
        </is>
      </c>
      <c r="E14" s="23" t="inlineStr">
        <is>
          <t>X axis zero return switch</t>
        </is>
      </c>
      <c r="F14" s="23" t="inlineStr">
        <is>
          <t>NO, active-high assumed</t>
        </is>
      </c>
      <c r="G14" s="22" t="inlineStr">
        <is>
          <t>IN</t>
        </is>
      </c>
      <c r="H14" s="22" t="inlineStr">
        <is>
          <t>7i77</t>
        </is>
      </c>
      <c r="I14" s="22" t="inlineStr">
        <is>
          <t>TB5</t>
        </is>
      </c>
      <c r="J14" s="22" t="inlineStr">
        <is>
          <t>IN0</t>
        </is>
      </c>
      <c r="K14" s="22" t="inlineStr">
        <is>
          <t>home-x</t>
        </is>
      </c>
      <c r="L14" s="23" t="inlineStr">
        <is>
          <t>Existing field switch / Mazak I/O</t>
        </is>
      </c>
      <c r="M14" s="23" t="inlineStr">
        <is>
          <t>Confirmed from notes</t>
        </is>
      </c>
      <c r="N14" s="23" t="inlineStr">
        <is>
          <t>Normal state must be verified.</t>
        </is>
      </c>
    </row>
    <row r="15" ht="27.75" customHeight="1" s="18">
      <c r="B15" s="22" t="inlineStr">
        <is>
          <t>X_LIMIT_PLUS</t>
        </is>
      </c>
      <c r="C15" s="22" t="inlineStr">
        <is>
          <t>OT+X</t>
        </is>
      </c>
      <c r="D15" s="22" t="inlineStr">
        <is>
          <t>Axis safety</t>
        </is>
      </c>
      <c r="E15" s="23" t="inlineStr">
        <is>
          <t>X positive overtravel limit</t>
        </is>
      </c>
      <c r="F15" s="23" t="inlineStr">
        <is>
          <t>NC, active-low assumed</t>
        </is>
      </c>
      <c r="G15" s="22" t="inlineStr">
        <is>
          <t>IN</t>
        </is>
      </c>
      <c r="H15" s="22" t="inlineStr">
        <is>
          <t>7i77</t>
        </is>
      </c>
      <c r="I15" s="22" t="inlineStr">
        <is>
          <t>TB5</t>
        </is>
      </c>
      <c r="J15" s="22" t="inlineStr">
        <is>
          <t>IN1</t>
        </is>
      </c>
      <c r="K15" s="22" t="inlineStr">
        <is>
          <t>limit-x-plus</t>
        </is>
      </c>
      <c r="L15" s="23" t="inlineStr">
        <is>
          <t>Existing OT chain</t>
        </is>
      </c>
      <c r="M15" s="23" t="inlineStr">
        <is>
          <t>Verify in cabinet</t>
        </is>
      </c>
      <c r="N15" s="23" t="inlineStr">
        <is>
          <t>May be chained rather than separate.</t>
        </is>
      </c>
    </row>
    <row r="16" ht="27.75" customHeight="1" s="18">
      <c r="B16" s="22" t="inlineStr">
        <is>
          <t>X_LIMIT_MINUS</t>
        </is>
      </c>
      <c r="C16" s="22" t="inlineStr">
        <is>
          <t>OT-X</t>
        </is>
      </c>
      <c r="D16" s="22" t="inlineStr">
        <is>
          <t>Axis safety</t>
        </is>
      </c>
      <c r="E16" s="23" t="inlineStr">
        <is>
          <t>X negative overtravel limit</t>
        </is>
      </c>
      <c r="F16" s="23" t="inlineStr">
        <is>
          <t>NC, active-low assumed</t>
        </is>
      </c>
      <c r="G16" s="22" t="inlineStr">
        <is>
          <t>IN</t>
        </is>
      </c>
      <c r="H16" s="22" t="inlineStr">
        <is>
          <t>7i77</t>
        </is>
      </c>
      <c r="I16" s="22" t="inlineStr">
        <is>
          <t>TB5</t>
        </is>
      </c>
      <c r="J16" s="22" t="inlineStr">
        <is>
          <t>IN2</t>
        </is>
      </c>
      <c r="K16" s="22" t="inlineStr">
        <is>
          <t>limit-x-minus</t>
        </is>
      </c>
      <c r="L16" s="23" t="inlineStr">
        <is>
          <t>Existing OT chain</t>
        </is>
      </c>
      <c r="M16" s="23" t="inlineStr">
        <is>
          <t>Verify in cabinet</t>
        </is>
      </c>
      <c r="N16" s="23" t="inlineStr">
        <is>
          <t>May be chained rather than separate.</t>
        </is>
      </c>
    </row>
    <row r="17" ht="27.75" customHeight="1" s="18">
      <c r="B17" s="22" t="inlineStr">
        <is>
          <t>Y_HOME</t>
        </is>
      </c>
      <c r="C17" s="22" t="inlineStr">
        <is>
          <t>LS-52</t>
        </is>
      </c>
      <c r="D17" s="22" t="inlineStr">
        <is>
          <t>Axis safety</t>
        </is>
      </c>
      <c r="E17" s="23" t="inlineStr">
        <is>
          <t>Y axis zero return switch</t>
        </is>
      </c>
      <c r="F17" s="22" t="inlineStr">
        <is>
          <t>NO assumed</t>
        </is>
      </c>
      <c r="G17" s="22" t="inlineStr">
        <is>
          <t>IN</t>
        </is>
      </c>
      <c r="H17" s="22" t="inlineStr">
        <is>
          <t>7i77</t>
        </is>
      </c>
      <c r="I17" s="22" t="inlineStr">
        <is>
          <t>TB5</t>
        </is>
      </c>
      <c r="J17" s="22" t="inlineStr">
        <is>
          <t>IN3</t>
        </is>
      </c>
      <c r="K17" s="22" t="inlineStr">
        <is>
          <t>home-y</t>
        </is>
      </c>
      <c r="L17" s="23" t="inlineStr">
        <is>
          <t>Existing field switch</t>
        </is>
      </c>
      <c r="M17" s="23" t="inlineStr">
        <is>
          <t>Confirmed from notes</t>
        </is>
      </c>
      <c r="N17" s="22" t="n"/>
    </row>
    <row r="18" ht="27.75" customHeight="1" s="18">
      <c r="B18" s="22" t="inlineStr">
        <is>
          <t>Y_LIMIT_PLUS</t>
        </is>
      </c>
      <c r="C18" s="22" t="inlineStr">
        <is>
          <t>OT+Y</t>
        </is>
      </c>
      <c r="D18" s="22" t="inlineStr">
        <is>
          <t>Axis safety</t>
        </is>
      </c>
      <c r="E18" s="23" t="inlineStr">
        <is>
          <t>Y positive overtravel limit</t>
        </is>
      </c>
      <c r="F18" s="22" t="inlineStr">
        <is>
          <t>NC assumed</t>
        </is>
      </c>
      <c r="G18" s="22" t="inlineStr">
        <is>
          <t>IN</t>
        </is>
      </c>
      <c r="H18" s="22" t="inlineStr">
        <is>
          <t>7i77</t>
        </is>
      </c>
      <c r="I18" s="22" t="inlineStr">
        <is>
          <t>TB5</t>
        </is>
      </c>
      <c r="J18" s="22" t="inlineStr">
        <is>
          <t>IN4</t>
        </is>
      </c>
      <c r="K18" s="22" t="inlineStr">
        <is>
          <t>limit-y-plus</t>
        </is>
      </c>
      <c r="L18" s="23" t="inlineStr">
        <is>
          <t>Existing OT chain</t>
        </is>
      </c>
      <c r="M18" s="23" t="inlineStr">
        <is>
          <t>Verify in cabinet</t>
        </is>
      </c>
      <c r="N18" s="22" t="n"/>
    </row>
    <row r="19" ht="27.75" customHeight="1" s="18">
      <c r="B19" s="22" t="inlineStr">
        <is>
          <t>Y_LIMIT_MINUS</t>
        </is>
      </c>
      <c r="C19" s="22" t="inlineStr">
        <is>
          <t>OT-Y</t>
        </is>
      </c>
      <c r="D19" s="22" t="inlineStr">
        <is>
          <t>Axis safety</t>
        </is>
      </c>
      <c r="E19" s="23" t="inlineStr">
        <is>
          <t>Y negative overtravel limit</t>
        </is>
      </c>
      <c r="F19" s="22" t="inlineStr">
        <is>
          <t>NC assumed</t>
        </is>
      </c>
      <c r="G19" s="22" t="inlineStr">
        <is>
          <t>IN</t>
        </is>
      </c>
      <c r="H19" s="22" t="inlineStr">
        <is>
          <t>7i77</t>
        </is>
      </c>
      <c r="I19" s="22" t="inlineStr">
        <is>
          <t>TB5</t>
        </is>
      </c>
      <c r="J19" s="22" t="inlineStr">
        <is>
          <t>IN5</t>
        </is>
      </c>
      <c r="K19" s="22" t="inlineStr">
        <is>
          <t>limit-y-minus</t>
        </is>
      </c>
      <c r="L19" s="23" t="inlineStr">
        <is>
          <t>Existing OT chain</t>
        </is>
      </c>
      <c r="M19" s="23" t="inlineStr">
        <is>
          <t>Verify in cabinet</t>
        </is>
      </c>
      <c r="N19" s="22" t="n"/>
    </row>
    <row r="20" ht="27.75" customHeight="1" s="18">
      <c r="B20" s="22" t="inlineStr">
        <is>
          <t>Z_HOME</t>
        </is>
      </c>
      <c r="C20" s="22" t="inlineStr">
        <is>
          <t>LS-62</t>
        </is>
      </c>
      <c r="D20" s="22" t="inlineStr">
        <is>
          <t>Axis safety</t>
        </is>
      </c>
      <c r="E20" s="23" t="inlineStr">
        <is>
          <t>Z axis zero return switch</t>
        </is>
      </c>
      <c r="F20" s="22" t="inlineStr">
        <is>
          <t>NO assumed</t>
        </is>
      </c>
      <c r="G20" s="22" t="inlineStr">
        <is>
          <t>IN</t>
        </is>
      </c>
      <c r="H20" s="22" t="inlineStr">
        <is>
          <t>7i77</t>
        </is>
      </c>
      <c r="I20" s="22" t="inlineStr">
        <is>
          <t>TB5</t>
        </is>
      </c>
      <c r="J20" s="22" t="inlineStr">
        <is>
          <t>IN6</t>
        </is>
      </c>
      <c r="K20" s="22" t="inlineStr">
        <is>
          <t>home-z</t>
        </is>
      </c>
      <c r="L20" s="23" t="inlineStr">
        <is>
          <t>Existing field switch</t>
        </is>
      </c>
      <c r="M20" s="23" t="inlineStr">
        <is>
          <t>Confirmed from notes</t>
        </is>
      </c>
      <c r="N20" s="22" t="n"/>
    </row>
    <row r="21" ht="27.75" customHeight="1" s="18">
      <c r="B21" s="22" t="inlineStr">
        <is>
          <t>Z_LIMIT_PLUS</t>
        </is>
      </c>
      <c r="C21" s="22" t="inlineStr">
        <is>
          <t>OT+Z</t>
        </is>
      </c>
      <c r="D21" s="22" t="inlineStr">
        <is>
          <t>Axis safety</t>
        </is>
      </c>
      <c r="E21" s="23" t="inlineStr">
        <is>
          <t>Z positive overtravel limit</t>
        </is>
      </c>
      <c r="F21" s="22" t="inlineStr">
        <is>
          <t>NC assumed</t>
        </is>
      </c>
      <c r="G21" s="22" t="inlineStr">
        <is>
          <t>IN</t>
        </is>
      </c>
      <c r="H21" s="22" t="inlineStr">
        <is>
          <t>7i77</t>
        </is>
      </c>
      <c r="I21" s="22" t="inlineStr">
        <is>
          <t>TB5</t>
        </is>
      </c>
      <c r="J21" s="22" t="inlineStr">
        <is>
          <t>IN7</t>
        </is>
      </c>
      <c r="K21" s="22" t="inlineStr">
        <is>
          <t>limit-z-plus</t>
        </is>
      </c>
      <c r="L21" s="23" t="inlineStr">
        <is>
          <t>Existing OT chain</t>
        </is>
      </c>
      <c r="M21" s="23" t="inlineStr">
        <is>
          <t>Verify in cabinet</t>
        </is>
      </c>
      <c r="N21" s="22" t="n"/>
    </row>
    <row r="22" ht="27.75" customHeight="1" s="18">
      <c r="B22" s="22" t="inlineStr">
        <is>
          <t>Z_LIMIT_MINUS</t>
        </is>
      </c>
      <c r="C22" s="22" t="inlineStr">
        <is>
          <t>OT-Z</t>
        </is>
      </c>
      <c r="D22" s="22" t="inlineStr">
        <is>
          <t>Axis safety</t>
        </is>
      </c>
      <c r="E22" s="23" t="inlineStr">
        <is>
          <t>Z negative overtravel limit</t>
        </is>
      </c>
      <c r="F22" s="22" t="inlineStr">
        <is>
          <t>NC assumed</t>
        </is>
      </c>
      <c r="G22" s="22" t="inlineStr">
        <is>
          <t>IN</t>
        </is>
      </c>
      <c r="H22" s="22" t="inlineStr">
        <is>
          <t>7i77</t>
        </is>
      </c>
      <c r="I22" s="22" t="inlineStr">
        <is>
          <t>TB5</t>
        </is>
      </c>
      <c r="J22" s="22" t="inlineStr">
        <is>
          <t>IN8</t>
        </is>
      </c>
      <c r="K22" s="22" t="inlineStr">
        <is>
          <t>limit-z-minus</t>
        </is>
      </c>
      <c r="L22" s="23" t="inlineStr">
        <is>
          <t>Existing OT chain</t>
        </is>
      </c>
      <c r="M22" s="23" t="inlineStr">
        <is>
          <t>Verify in cabinet</t>
        </is>
      </c>
      <c r="N22" s="22" t="n"/>
    </row>
    <row r="23" ht="27.75" customHeight="1" s="18">
      <c r="B23" s="22" t="inlineStr">
        <is>
          <t>X_DRIVE_FAULT</t>
        </is>
      </c>
      <c r="C23" s="22" t="n"/>
      <c r="D23" s="22" t="inlineStr">
        <is>
          <t>Drive safety</t>
        </is>
      </c>
      <c r="E23" s="23" t="inlineStr">
        <is>
          <t>X servo drive alarm/fault</t>
        </is>
      </c>
      <c r="F23" s="23" t="inlineStr">
        <is>
          <t>Active-low assumed</t>
        </is>
      </c>
      <c r="G23" s="22" t="inlineStr">
        <is>
          <t>IN</t>
        </is>
      </c>
      <c r="H23" s="22" t="inlineStr">
        <is>
          <t>7i77</t>
        </is>
      </c>
      <c r="I23" s="22" t="inlineStr">
        <is>
          <t>TB5</t>
        </is>
      </c>
      <c r="J23" s="22" t="inlineStr">
        <is>
          <t>IN9</t>
        </is>
      </c>
      <c r="K23" s="22" t="inlineStr">
        <is>
          <t>x-drive-fault</t>
        </is>
      </c>
      <c r="L23" s="23" t="inlineStr">
        <is>
          <t>X Mitsubishi servo amp</t>
        </is>
      </c>
      <c r="M23" s="23" t="inlineStr">
        <is>
          <t>Verify in cabinet</t>
        </is>
      </c>
      <c r="N23" s="23" t="inlineStr">
        <is>
          <t>Find alarm contact logic at drive terminal.</t>
        </is>
      </c>
    </row>
    <row r="24" ht="27.75" customHeight="1" s="18">
      <c r="B24" s="22" t="inlineStr">
        <is>
          <t>Y_DRIVE_FAULT</t>
        </is>
      </c>
      <c r="C24" s="22" t="n"/>
      <c r="D24" s="22" t="inlineStr">
        <is>
          <t>Drive safety</t>
        </is>
      </c>
      <c r="E24" s="23" t="inlineStr">
        <is>
          <t>Y servo drive alarm/fault</t>
        </is>
      </c>
      <c r="F24" s="23" t="inlineStr">
        <is>
          <t>Active-low assumed</t>
        </is>
      </c>
      <c r="G24" s="22" t="inlineStr">
        <is>
          <t>IN</t>
        </is>
      </c>
      <c r="H24" s="22" t="inlineStr">
        <is>
          <t>7i77</t>
        </is>
      </c>
      <c r="I24" s="22" t="inlineStr">
        <is>
          <t>TB5</t>
        </is>
      </c>
      <c r="J24" s="22" t="inlineStr">
        <is>
          <t>IN10</t>
        </is>
      </c>
      <c r="K24" s="22" t="inlineStr">
        <is>
          <t>y-drive-fault</t>
        </is>
      </c>
      <c r="L24" s="23" t="inlineStr">
        <is>
          <t>Y Mitsubishi servo amp</t>
        </is>
      </c>
      <c r="M24" s="23" t="inlineStr">
        <is>
          <t>Verify in cabinet</t>
        </is>
      </c>
      <c r="N24" s="22" t="n"/>
    </row>
    <row r="25" ht="27.75" customHeight="1" s="18">
      <c r="B25" s="22" t="inlineStr">
        <is>
          <t>Z_DRIVE_FAULT</t>
        </is>
      </c>
      <c r="C25" s="22" t="n"/>
      <c r="D25" s="22" t="inlineStr">
        <is>
          <t>Drive safety</t>
        </is>
      </c>
      <c r="E25" s="23" t="inlineStr">
        <is>
          <t>Z servo drive alarm/fault</t>
        </is>
      </c>
      <c r="F25" s="23" t="inlineStr">
        <is>
          <t>Active-low assumed</t>
        </is>
      </c>
      <c r="G25" s="22" t="inlineStr">
        <is>
          <t>IN</t>
        </is>
      </c>
      <c r="H25" s="22" t="inlineStr">
        <is>
          <t>7i77</t>
        </is>
      </c>
      <c r="I25" s="22" t="inlineStr">
        <is>
          <t>TB5</t>
        </is>
      </c>
      <c r="J25" s="22" t="inlineStr">
        <is>
          <t>IN11</t>
        </is>
      </c>
      <c r="K25" s="22" t="inlineStr">
        <is>
          <t>z-drive-fault</t>
        </is>
      </c>
      <c r="L25" s="23" t="inlineStr">
        <is>
          <t>Z Mitsubishi servo amp</t>
        </is>
      </c>
      <c r="M25" s="23" t="inlineStr">
        <is>
          <t>Verify in cabinet</t>
        </is>
      </c>
      <c r="N25" s="22" t="n"/>
    </row>
    <row r="26" ht="27.75" customHeight="1" s="18">
      <c r="B26" s="22" t="inlineStr">
        <is>
          <t>SPINDLE_FAULT</t>
        </is>
      </c>
      <c r="C26" s="22" t="n"/>
      <c r="D26" s="22" t="inlineStr">
        <is>
          <t>Spindle safety</t>
        </is>
      </c>
      <c r="E26" s="23" t="inlineStr">
        <is>
          <t>FR-SX alarm/fault</t>
        </is>
      </c>
      <c r="F26" s="23" t="inlineStr">
        <is>
          <t>Active-low assumed</t>
        </is>
      </c>
      <c r="G26" s="22" t="inlineStr">
        <is>
          <t>IN</t>
        </is>
      </c>
      <c r="H26" s="22" t="inlineStr">
        <is>
          <t>7i77</t>
        </is>
      </c>
      <c r="I26" s="22" t="inlineStr">
        <is>
          <t>TB5</t>
        </is>
      </c>
      <c r="J26" s="22" t="inlineStr">
        <is>
          <t>IN12</t>
        </is>
      </c>
      <c r="K26" s="22" t="inlineStr">
        <is>
          <t>spindle-fault</t>
        </is>
      </c>
      <c r="L26" s="23" t="inlineStr">
        <is>
          <t>FR-SX spindle controller</t>
        </is>
      </c>
      <c r="M26" s="23" t="inlineStr">
        <is>
          <t>Verify in cabinet</t>
        </is>
      </c>
      <c r="N26" s="22" t="n"/>
    </row>
    <row r="27" ht="27.75" customHeight="1" s="18">
      <c r="B27" s="22" t="inlineStr">
        <is>
          <t>ESTOP_CHAIN</t>
        </is>
      </c>
      <c r="C27" s="22" t="n"/>
      <c r="D27" s="22" t="inlineStr">
        <is>
          <t>Safety</t>
        </is>
      </c>
      <c r="E27" s="23" t="inlineStr">
        <is>
          <t>External estop chain input</t>
        </is>
      </c>
      <c r="F27" s="23" t="inlineStr">
        <is>
          <t>NC, opens on fault</t>
        </is>
      </c>
      <c r="G27" s="22" t="inlineStr">
        <is>
          <t>IN</t>
        </is>
      </c>
      <c r="H27" s="22" t="inlineStr">
        <is>
          <t>7i77</t>
        </is>
      </c>
      <c r="I27" s="22" t="inlineStr">
        <is>
          <t>TB5</t>
        </is>
      </c>
      <c r="J27" s="22" t="inlineStr">
        <is>
          <t>IN13</t>
        </is>
      </c>
      <c r="K27" s="22" t="inlineStr">
        <is>
          <t>estop-ext</t>
        </is>
      </c>
      <c r="L27" s="23" t="inlineStr">
        <is>
          <t>Existing safety chain contact</t>
        </is>
      </c>
      <c r="M27" s="23" t="inlineStr">
        <is>
          <t>Verify in cabinet</t>
        </is>
      </c>
      <c r="N27" s="23" t="inlineStr">
        <is>
          <t>Consider safety relay; do not rely on software alone for safety.</t>
        </is>
      </c>
    </row>
    <row r="28" ht="27.75" customHeight="1" s="18">
      <c r="B28" s="22" t="inlineStr">
        <is>
          <t>DOOR_CLOSED</t>
        </is>
      </c>
      <c r="C28" s="22" t="n"/>
      <c r="D28" s="22" t="inlineStr">
        <is>
          <t>Safety</t>
        </is>
      </c>
      <c r="E28" s="22" t="inlineStr">
        <is>
          <t>Door interlock</t>
        </is>
      </c>
      <c r="F28" s="22" t="inlineStr">
        <is>
          <t>NO assumed</t>
        </is>
      </c>
      <c r="G28" s="22" t="inlineStr">
        <is>
          <t>IN</t>
        </is>
      </c>
      <c r="H28" s="22" t="inlineStr">
        <is>
          <t>7i77</t>
        </is>
      </c>
      <c r="I28" s="22" t="inlineStr">
        <is>
          <t>TB5</t>
        </is>
      </c>
      <c r="J28" s="22" t="inlineStr">
        <is>
          <t>IN14</t>
        </is>
      </c>
      <c r="K28" s="22" t="inlineStr">
        <is>
          <t>door-closed</t>
        </is>
      </c>
      <c r="L28" s="23" t="inlineStr">
        <is>
          <t>Door switch / interlock chain</t>
        </is>
      </c>
      <c r="M28" s="23" t="inlineStr">
        <is>
          <t>Verify in cabinet</t>
        </is>
      </c>
      <c r="N28" s="22" t="n"/>
    </row>
    <row r="29" ht="27.75" customHeight="1" s="18">
      <c r="B29" s="22" t="inlineStr">
        <is>
          <t>LUBE_OK</t>
        </is>
      </c>
      <c r="C29" s="22" t="n"/>
      <c r="D29" s="22" t="inlineStr">
        <is>
          <t>Utility safety</t>
        </is>
      </c>
      <c r="E29" s="23" t="inlineStr">
        <is>
          <t>Central lube pressure/float OK</t>
        </is>
      </c>
      <c r="F29" s="22" t="inlineStr">
        <is>
          <t>NO assumed</t>
        </is>
      </c>
      <c r="G29" s="22" t="inlineStr">
        <is>
          <t>IN</t>
        </is>
      </c>
      <c r="H29" s="22" t="inlineStr">
        <is>
          <t>7i77</t>
        </is>
      </c>
      <c r="I29" s="22" t="inlineStr">
        <is>
          <t>TB5</t>
        </is>
      </c>
      <c r="J29" s="22" t="inlineStr">
        <is>
          <t>IN15</t>
        </is>
      </c>
      <c r="K29" s="22" t="inlineStr">
        <is>
          <t>lube-ok</t>
        </is>
      </c>
      <c r="L29" s="23" t="inlineStr">
        <is>
          <t>Central lubrication unit</t>
        </is>
      </c>
      <c r="M29" s="23" t="inlineStr">
        <is>
          <t>Verify in cabinet</t>
        </is>
      </c>
      <c r="N29" s="22" t="n"/>
    </row>
    <row r="30" ht="27.75" customHeight="1" s="18">
      <c r="B30" s="22" t="inlineStr">
        <is>
          <t>HYD_PRESS_OK</t>
        </is>
      </c>
      <c r="C30" s="22" t="n"/>
      <c r="D30" s="23" t="inlineStr">
        <is>
          <t>Hydraulic safety</t>
        </is>
      </c>
      <c r="E30" s="23" t="inlineStr">
        <is>
          <t>Hydraulic pressure OK</t>
        </is>
      </c>
      <c r="F30" s="22" t="inlineStr">
        <is>
          <t>NO assumed</t>
        </is>
      </c>
      <c r="G30" s="22" t="inlineStr">
        <is>
          <t>IN</t>
        </is>
      </c>
      <c r="H30" s="22" t="inlineStr">
        <is>
          <t>7i77</t>
        </is>
      </c>
      <c r="I30" s="22" t="inlineStr">
        <is>
          <t>TB5</t>
        </is>
      </c>
      <c r="J30" s="22" t="inlineStr">
        <is>
          <t>IN16</t>
        </is>
      </c>
      <c r="K30" s="22" t="inlineStr">
        <is>
          <t>hydraulic-ok</t>
        </is>
      </c>
      <c r="L30" s="23" t="inlineStr">
        <is>
          <t>Hydraulic pressure switch</t>
        </is>
      </c>
      <c r="M30" s="23" t="inlineStr">
        <is>
          <t>Verify in cabinet</t>
        </is>
      </c>
      <c r="N30" s="22" t="n"/>
    </row>
    <row r="31" ht="27.75" customHeight="1" s="18">
      <c r="B31" s="22" t="inlineStr">
        <is>
          <t>CYCLE_START_PB</t>
        </is>
      </c>
      <c r="C31" s="22" t="n"/>
      <c r="D31" s="22" t="inlineStr">
        <is>
          <t>Panel</t>
        </is>
      </c>
      <c r="E31" s="23" t="inlineStr">
        <is>
          <t>Cycle start pushbutton</t>
        </is>
      </c>
      <c r="F31" s="22" t="inlineStr">
        <is>
          <t>NO momentary</t>
        </is>
      </c>
      <c r="G31" s="22" t="inlineStr">
        <is>
          <t>IN</t>
        </is>
      </c>
      <c r="H31" s="22" t="inlineStr">
        <is>
          <t>7i77</t>
        </is>
      </c>
      <c r="I31" s="22" t="inlineStr">
        <is>
          <t>TB5</t>
        </is>
      </c>
      <c r="J31" s="22" t="inlineStr">
        <is>
          <t>IN17</t>
        </is>
      </c>
      <c r="K31" s="22" t="inlineStr">
        <is>
          <t>cycle-start-pb</t>
        </is>
      </c>
      <c r="L31" s="22" t="inlineStr">
        <is>
          <t>Operator panel</t>
        </is>
      </c>
      <c r="M31" s="22" t="inlineStr">
        <is>
          <t>Optional</t>
        </is>
      </c>
      <c r="N31" s="23" t="inlineStr">
        <is>
          <t>Can also use LinuxCNC UI/pendant.</t>
        </is>
      </c>
    </row>
    <row r="32" ht="27.75" customHeight="1" s="18">
      <c r="B32" s="22" t="inlineStr">
        <is>
          <t>FEED_HOLD_PB</t>
        </is>
      </c>
      <c r="C32" s="22" t="n"/>
      <c r="D32" s="22" t="inlineStr">
        <is>
          <t>Panel</t>
        </is>
      </c>
      <c r="E32" s="23" t="inlineStr">
        <is>
          <t>Feed hold pushbutton</t>
        </is>
      </c>
      <c r="F32" s="22" t="inlineStr">
        <is>
          <t>NO momentary</t>
        </is>
      </c>
      <c r="G32" s="22" t="inlineStr">
        <is>
          <t>IN</t>
        </is>
      </c>
      <c r="H32" s="22" t="inlineStr">
        <is>
          <t>7i77</t>
        </is>
      </c>
      <c r="I32" s="22" t="inlineStr">
        <is>
          <t>TB5</t>
        </is>
      </c>
      <c r="J32" s="22" t="inlineStr">
        <is>
          <t>IN18</t>
        </is>
      </c>
      <c r="K32" s="22" t="inlineStr">
        <is>
          <t>feed-hold-pb</t>
        </is>
      </c>
      <c r="L32" s="22" t="inlineStr">
        <is>
          <t>Operator panel</t>
        </is>
      </c>
      <c r="M32" s="22" t="inlineStr">
        <is>
          <t>Optional</t>
        </is>
      </c>
      <c r="N32" s="22" t="n"/>
    </row>
    <row r="33" ht="27.75" customHeight="1" s="18">
      <c r="B33" s="23" t="inlineStr">
        <is>
          <t>SINGLE_BLOCK_SW</t>
        </is>
      </c>
      <c r="C33" s="22" t="n"/>
      <c r="D33" s="22" t="inlineStr">
        <is>
          <t>Panel</t>
        </is>
      </c>
      <c r="E33" s="23" t="inlineStr">
        <is>
          <t>Single block switch</t>
        </is>
      </c>
      <c r="F33" s="22" t="inlineStr">
        <is>
          <t>NO assumed</t>
        </is>
      </c>
      <c r="G33" s="22" t="inlineStr">
        <is>
          <t>IN</t>
        </is>
      </c>
      <c r="H33" s="22" t="inlineStr">
        <is>
          <t>7i77</t>
        </is>
      </c>
      <c r="I33" s="22" t="inlineStr">
        <is>
          <t>TB5</t>
        </is>
      </c>
      <c r="J33" s="22" t="inlineStr">
        <is>
          <t>IN19</t>
        </is>
      </c>
      <c r="K33" s="22" t="inlineStr">
        <is>
          <t>single-block</t>
        </is>
      </c>
      <c r="L33" s="22" t="inlineStr">
        <is>
          <t>Operator panel</t>
        </is>
      </c>
      <c r="M33" s="22" t="inlineStr">
        <is>
          <t>Optional</t>
        </is>
      </c>
      <c r="N33" s="22" t="n"/>
    </row>
    <row r="34" ht="27.75" customHeight="1" s="18">
      <c r="B34" s="23" t="inlineStr">
        <is>
          <t>SPINDLE_ZERO_SPEED</t>
        </is>
      </c>
      <c r="C34" s="22" t="n"/>
      <c r="D34" s="22" t="inlineStr">
        <is>
          <t>Spindle safety</t>
        </is>
      </c>
      <c r="E34" s="23" t="inlineStr">
        <is>
          <t>Spindle zero speed / at speed feedback</t>
        </is>
      </c>
      <c r="F34" s="22" t="inlineStr">
        <is>
          <t>TBD</t>
        </is>
      </c>
      <c r="G34" s="22" t="inlineStr">
        <is>
          <t>IN</t>
        </is>
      </c>
      <c r="H34" s="22" t="inlineStr">
        <is>
          <t>7i77</t>
        </is>
      </c>
      <c r="I34" s="22" t="inlineStr">
        <is>
          <t>TB5</t>
        </is>
      </c>
      <c r="J34" s="22" t="inlineStr">
        <is>
          <t>Spare IN</t>
        </is>
      </c>
      <c r="K34" s="23" t="inlineStr">
        <is>
          <t>spindle-zero-speed</t>
        </is>
      </c>
      <c r="L34" s="23" t="inlineStr">
        <is>
          <t>FR-SX or spindle pickup logic</t>
        </is>
      </c>
      <c r="M34" s="23" t="inlineStr">
        <is>
          <t>Verify in cabinet</t>
        </is>
      </c>
      <c r="N34" s="23" t="inlineStr">
        <is>
          <t>Required for safe gear shift/toolchange if available.</t>
        </is>
      </c>
    </row>
    <row r="35" ht="27.75" customHeight="1" s="18">
      <c r="B35" s="22" t="inlineStr">
        <is>
          <t>SERVO_READY</t>
        </is>
      </c>
      <c r="C35" s="22" t="n"/>
      <c r="D35" s="22" t="inlineStr">
        <is>
          <t>Drive safety</t>
        </is>
      </c>
      <c r="E35" s="23" t="inlineStr">
        <is>
          <t>Servo ready feedback</t>
        </is>
      </c>
      <c r="F35" s="22" t="inlineStr">
        <is>
          <t>TBD</t>
        </is>
      </c>
      <c r="G35" s="22" t="inlineStr">
        <is>
          <t>IN</t>
        </is>
      </c>
      <c r="H35" s="22" t="inlineStr">
        <is>
          <t>7i77</t>
        </is>
      </c>
      <c r="I35" s="22" t="inlineStr">
        <is>
          <t>TB5</t>
        </is>
      </c>
      <c r="J35" s="22" t="inlineStr">
        <is>
          <t>Spare IN</t>
        </is>
      </c>
      <c r="K35" s="22" t="inlineStr">
        <is>
          <t>servo-ready</t>
        </is>
      </c>
      <c r="L35" s="23" t="inlineStr">
        <is>
          <t>Servo drives / ready relay</t>
        </is>
      </c>
      <c r="M35" s="23" t="inlineStr">
        <is>
          <t>Verify in cabinet</t>
        </is>
      </c>
      <c r="N35" s="23" t="inlineStr">
        <is>
          <t>Useful before enabling motion.</t>
        </is>
      </c>
    </row>
    <row r="36" ht="27.75" customHeight="1" s="18">
      <c r="B36" s="23" t="inlineStr">
        <is>
          <t>CABINET_TEMP_FAN_OK</t>
        </is>
      </c>
      <c r="C36" s="22" t="n"/>
      <c r="D36" s="22" t="inlineStr">
        <is>
          <t>Cabinet</t>
        </is>
      </c>
      <c r="E36" s="23" t="inlineStr">
        <is>
          <t>Overtemp or fan fail input</t>
        </is>
      </c>
      <c r="F36" s="22" t="inlineStr">
        <is>
          <t>TBD</t>
        </is>
      </c>
      <c r="G36" s="22" t="inlineStr">
        <is>
          <t>IN</t>
        </is>
      </c>
      <c r="H36" s="22" t="inlineStr">
        <is>
          <t>7i77</t>
        </is>
      </c>
      <c r="I36" s="22" t="inlineStr">
        <is>
          <t>TB5</t>
        </is>
      </c>
      <c r="J36" s="22" t="inlineStr">
        <is>
          <t>Spare IN</t>
        </is>
      </c>
      <c r="K36" s="22" t="inlineStr">
        <is>
          <t>cabinet-ok</t>
        </is>
      </c>
      <c r="L36" s="23" t="inlineStr">
        <is>
          <t>Cabinet sensor if present</t>
        </is>
      </c>
      <c r="M36" s="22" t="inlineStr">
        <is>
          <t>Optional</t>
        </is>
      </c>
      <c r="N36" s="22" t="n"/>
    </row>
    <row r="37" ht="27.75" customHeight="1" s="18">
      <c r="B37" s="22" t="inlineStr">
        <is>
          <t>RAPID_OVERRIDE</t>
        </is>
      </c>
      <c r="C37" s="22" t="n"/>
      <c r="D37" s="22" t="inlineStr">
        <is>
          <t>Panel</t>
        </is>
      </c>
      <c r="E37" s="23" t="inlineStr">
        <is>
          <t>Rapid override discrete contacts</t>
        </is>
      </c>
      <c r="F37" s="22" t="inlineStr">
        <is>
          <t>TBD</t>
        </is>
      </c>
      <c r="G37" s="22" t="inlineStr">
        <is>
          <t>IN</t>
        </is>
      </c>
      <c r="H37" s="22" t="inlineStr">
        <is>
          <t>7i77</t>
        </is>
      </c>
      <c r="I37" s="22" t="inlineStr">
        <is>
          <t>TB5</t>
        </is>
      </c>
      <c r="J37" s="22" t="inlineStr">
        <is>
          <t>Spare IN</t>
        </is>
      </c>
      <c r="K37" s="22" t="inlineStr">
        <is>
          <t>rapid-override</t>
        </is>
      </c>
      <c r="L37" s="22" t="inlineStr">
        <is>
          <t>Operator panel</t>
        </is>
      </c>
      <c r="M37" s="22" t="inlineStr">
        <is>
          <t>Optional</t>
        </is>
      </c>
      <c r="N37" s="23" t="inlineStr">
        <is>
          <t>If analog/pot, handle differently.</t>
        </is>
      </c>
    </row>
    <row r="38" ht="27.75" customHeight="1" s="18">
      <c r="B38" s="22" t="inlineStr">
        <is>
          <t>X_DRIVE_ENABLE</t>
        </is>
      </c>
      <c r="C38" s="22" t="n"/>
      <c r="D38" s="22" t="inlineStr">
        <is>
          <t>Drive control</t>
        </is>
      </c>
      <c r="E38" s="23" t="inlineStr">
        <is>
          <t>Enable X servo amp</t>
        </is>
      </c>
      <c r="F38" s="23" t="inlineStr">
        <is>
          <t>Active-high assumed</t>
        </is>
      </c>
      <c r="G38" s="22" t="inlineStr">
        <is>
          <t>OUT</t>
        </is>
      </c>
      <c r="H38" s="22" t="inlineStr">
        <is>
          <t>7i77</t>
        </is>
      </c>
      <c r="I38" s="22" t="inlineStr">
        <is>
          <t>TB6</t>
        </is>
      </c>
      <c r="J38" s="22" t="inlineStr">
        <is>
          <t>OUT0</t>
        </is>
      </c>
      <c r="K38" s="22" t="inlineStr">
        <is>
          <t>x-enable</t>
        </is>
      </c>
      <c r="L38" s="23" t="inlineStr">
        <is>
          <t>X servo amp enable terminal</t>
        </is>
      </c>
      <c r="M38" s="23" t="inlineStr">
        <is>
          <t>Verify in cabinet</t>
        </is>
      </c>
      <c r="N38" s="23" t="inlineStr">
        <is>
          <t>Interlock through estop/ready.</t>
        </is>
      </c>
    </row>
    <row r="39" ht="27.75" customHeight="1" s="18">
      <c r="B39" s="22" t="inlineStr">
        <is>
          <t>Y_DRIVE_ENABLE</t>
        </is>
      </c>
      <c r="C39" s="22" t="n"/>
      <c r="D39" s="22" t="inlineStr">
        <is>
          <t>Drive control</t>
        </is>
      </c>
      <c r="E39" s="23" t="inlineStr">
        <is>
          <t>Enable Y servo amp</t>
        </is>
      </c>
      <c r="F39" s="23" t="inlineStr">
        <is>
          <t>Active-high assumed</t>
        </is>
      </c>
      <c r="G39" s="22" t="inlineStr">
        <is>
          <t>OUT</t>
        </is>
      </c>
      <c r="H39" s="22" t="inlineStr">
        <is>
          <t>7i77</t>
        </is>
      </c>
      <c r="I39" s="22" t="inlineStr">
        <is>
          <t>TB6</t>
        </is>
      </c>
      <c r="J39" s="22" t="inlineStr">
        <is>
          <t>OUT1</t>
        </is>
      </c>
      <c r="K39" s="22" t="inlineStr">
        <is>
          <t>y-enable</t>
        </is>
      </c>
      <c r="L39" s="23" t="inlineStr">
        <is>
          <t>Y servo amp enable terminal</t>
        </is>
      </c>
      <c r="M39" s="23" t="inlineStr">
        <is>
          <t>Verify in cabinet</t>
        </is>
      </c>
      <c r="N39" s="22" t="n"/>
    </row>
    <row r="40" ht="27.75" customHeight="1" s="18">
      <c r="B40" s="22" t="inlineStr">
        <is>
          <t>Z_DRIVE_ENABLE</t>
        </is>
      </c>
      <c r="C40" s="22" t="n"/>
      <c r="D40" s="22" t="inlineStr">
        <is>
          <t>Drive control</t>
        </is>
      </c>
      <c r="E40" s="23" t="inlineStr">
        <is>
          <t>Enable Z servo amp</t>
        </is>
      </c>
      <c r="F40" s="23" t="inlineStr">
        <is>
          <t>Active-high assumed</t>
        </is>
      </c>
      <c r="G40" s="22" t="inlineStr">
        <is>
          <t>OUT</t>
        </is>
      </c>
      <c r="H40" s="22" t="inlineStr">
        <is>
          <t>7i77</t>
        </is>
      </c>
      <c r="I40" s="22" t="inlineStr">
        <is>
          <t>TB6</t>
        </is>
      </c>
      <c r="J40" s="22" t="inlineStr">
        <is>
          <t>OUT2</t>
        </is>
      </c>
      <c r="K40" s="22" t="inlineStr">
        <is>
          <t>z-enable</t>
        </is>
      </c>
      <c r="L40" s="23" t="inlineStr">
        <is>
          <t>Z servo amp enable terminal</t>
        </is>
      </c>
      <c r="M40" s="23" t="inlineStr">
        <is>
          <t>Verify in cabinet</t>
        </is>
      </c>
      <c r="N40" s="22" t="n"/>
    </row>
    <row r="41" ht="27.75" customHeight="1" s="18">
      <c r="B41" s="22" t="inlineStr">
        <is>
          <t>SPINDLE_ENABLE</t>
        </is>
      </c>
      <c r="C41" s="22" t="n"/>
      <c r="D41" s="23" t="inlineStr">
        <is>
          <t>Spindle control</t>
        </is>
      </c>
      <c r="E41" s="23" t="inlineStr">
        <is>
          <t>FR-SX enable/run permission</t>
        </is>
      </c>
      <c r="F41" s="23" t="inlineStr">
        <is>
          <t>Active-high assumed</t>
        </is>
      </c>
      <c r="G41" s="22" t="inlineStr">
        <is>
          <t>OUT</t>
        </is>
      </c>
      <c r="H41" s="22" t="inlineStr">
        <is>
          <t>7i77</t>
        </is>
      </c>
      <c r="I41" s="22" t="inlineStr">
        <is>
          <t>TB6</t>
        </is>
      </c>
      <c r="J41" s="22" t="inlineStr">
        <is>
          <t>OUT3</t>
        </is>
      </c>
      <c r="K41" s="22" t="inlineStr">
        <is>
          <t>spindle-enable</t>
        </is>
      </c>
      <c r="L41" s="22" t="inlineStr">
        <is>
          <t>FR-SX terminal</t>
        </is>
      </c>
      <c r="M41" s="23" t="inlineStr">
        <is>
          <t>Verify in cabinet</t>
        </is>
      </c>
      <c r="N41" s="22" t="n"/>
    </row>
    <row r="42" ht="27.75" customHeight="1" s="18">
      <c r="B42" s="22" t="inlineStr">
        <is>
          <t>SPINDLE_DIR</t>
        </is>
      </c>
      <c r="C42" s="22" t="n"/>
      <c r="D42" s="23" t="inlineStr">
        <is>
          <t>Spindle control</t>
        </is>
      </c>
      <c r="E42" s="23" t="inlineStr">
        <is>
          <t>Spindle direction select</t>
        </is>
      </c>
      <c r="F42" s="23" t="inlineStr">
        <is>
          <t>High=FWD assumed</t>
        </is>
      </c>
      <c r="G42" s="22" t="inlineStr">
        <is>
          <t>OUT</t>
        </is>
      </c>
      <c r="H42" s="22" t="inlineStr">
        <is>
          <t>7i77</t>
        </is>
      </c>
      <c r="I42" s="22" t="inlineStr">
        <is>
          <t>TB6</t>
        </is>
      </c>
      <c r="J42" s="22" t="inlineStr">
        <is>
          <t>OUT4</t>
        </is>
      </c>
      <c r="K42" s="22" t="inlineStr">
        <is>
          <t>spindle-dir</t>
        </is>
      </c>
      <c r="L42" s="23" t="inlineStr">
        <is>
          <t>FR-SX FWD/REV terminals</t>
        </is>
      </c>
      <c r="M42" s="23" t="inlineStr">
        <is>
          <t>Verify in cabinet</t>
        </is>
      </c>
      <c r="N42" s="23" t="inlineStr">
        <is>
          <t>May need separate FWD and REV outputs.</t>
        </is>
      </c>
    </row>
    <row r="43" ht="27.75" customHeight="1" s="18">
      <c r="B43" s="23" t="inlineStr">
        <is>
          <t>SERVO_ON_CONTACTOR</t>
        </is>
      </c>
      <c r="C43" s="22" t="n"/>
      <c r="D43" s="22" t="inlineStr">
        <is>
          <t>Safety/control</t>
        </is>
      </c>
      <c r="E43" s="23" t="inlineStr">
        <is>
          <t>Main servo power contactor coil</t>
        </is>
      </c>
      <c r="F43" s="23" t="inlineStr">
        <is>
          <t>Active-high assumed</t>
        </is>
      </c>
      <c r="G43" s="22" t="inlineStr">
        <is>
          <t>OUT</t>
        </is>
      </c>
      <c r="H43" s="22" t="inlineStr">
        <is>
          <t>7i77</t>
        </is>
      </c>
      <c r="I43" s="22" t="inlineStr">
        <is>
          <t>TB6</t>
        </is>
      </c>
      <c r="J43" s="22" t="inlineStr">
        <is>
          <t>OUT5</t>
        </is>
      </c>
      <c r="K43" s="22" t="inlineStr">
        <is>
          <t>main-servo-on</t>
        </is>
      </c>
      <c r="L43" s="23" t="inlineStr">
        <is>
          <t>Original servo-on/contact chain</t>
        </is>
      </c>
      <c r="M43" s="23" t="inlineStr">
        <is>
          <t>Verify in cabinet</t>
        </is>
      </c>
      <c r="N43" s="23" t="inlineStr">
        <is>
          <t>Only if LinuxCNC will control contactor.</t>
        </is>
      </c>
    </row>
    <row r="44" ht="27.75" customHeight="1" s="18">
      <c r="B44" s="22" t="inlineStr">
        <is>
          <t>READY_LAMP</t>
        </is>
      </c>
      <c r="C44" s="22" t="n"/>
      <c r="D44" s="22" t="inlineStr">
        <is>
          <t>Panel</t>
        </is>
      </c>
      <c r="E44" s="23" t="inlineStr">
        <is>
          <t>READY indicator lamp</t>
        </is>
      </c>
      <c r="F44" s="23" t="inlineStr">
        <is>
          <t>Active-high assumed</t>
        </is>
      </c>
      <c r="G44" s="22" t="inlineStr">
        <is>
          <t>OUT</t>
        </is>
      </c>
      <c r="H44" s="22" t="inlineStr">
        <is>
          <t>7i77</t>
        </is>
      </c>
      <c r="I44" s="22" t="inlineStr">
        <is>
          <t>TB6</t>
        </is>
      </c>
      <c r="J44" s="22" t="inlineStr">
        <is>
          <t>OUT6</t>
        </is>
      </c>
      <c r="K44" s="22" t="inlineStr">
        <is>
          <t>lamp-ready</t>
        </is>
      </c>
      <c r="L44" s="23" t="inlineStr">
        <is>
          <t>Operator panel lamp</t>
        </is>
      </c>
      <c r="M44" s="22" t="inlineStr">
        <is>
          <t>Optional</t>
        </is>
      </c>
      <c r="N44" s="22" t="n"/>
    </row>
    <row r="45" ht="27.75" customHeight="1" s="18">
      <c r="B45" s="22" t="inlineStr">
        <is>
          <t>ALARM_LAMP</t>
        </is>
      </c>
      <c r="C45" s="22" t="n"/>
      <c r="D45" s="22" t="inlineStr">
        <is>
          <t>Panel</t>
        </is>
      </c>
      <c r="E45" s="23" t="inlineStr">
        <is>
          <t>MACHINE FAILURE / alarm lamp</t>
        </is>
      </c>
      <c r="F45" s="23" t="inlineStr">
        <is>
          <t>Active-high assumed</t>
        </is>
      </c>
      <c r="G45" s="22" t="inlineStr">
        <is>
          <t>OUT</t>
        </is>
      </c>
      <c r="H45" s="22" t="inlineStr">
        <is>
          <t>7i77</t>
        </is>
      </c>
      <c r="I45" s="22" t="inlineStr">
        <is>
          <t>TB6</t>
        </is>
      </c>
      <c r="J45" s="22" t="inlineStr">
        <is>
          <t>OUT7</t>
        </is>
      </c>
      <c r="K45" s="22" t="inlineStr">
        <is>
          <t>lamp-alarm</t>
        </is>
      </c>
      <c r="L45" s="23" t="inlineStr">
        <is>
          <t>Operator panel lamp</t>
        </is>
      </c>
      <c r="M45" s="22" t="inlineStr">
        <is>
          <t>Optional</t>
        </is>
      </c>
      <c r="N45" s="22" t="n"/>
    </row>
    <row r="46" ht="27.75" customHeight="1" s="18">
      <c r="B46" s="23" t="inlineStr">
        <is>
          <t>SPINDLE_ORIENT_CMD</t>
        </is>
      </c>
      <c r="C46" s="22" t="n"/>
      <c r="D46" s="22" t="inlineStr">
        <is>
          <t>Spindle / ATC</t>
        </is>
      </c>
      <c r="E46" s="23" t="inlineStr">
        <is>
          <t>Spindle orient command</t>
        </is>
      </c>
      <c r="F46" s="22" t="inlineStr">
        <is>
          <t>TBD</t>
        </is>
      </c>
      <c r="G46" s="22" t="inlineStr">
        <is>
          <t>OUT</t>
        </is>
      </c>
      <c r="H46" s="22" t="inlineStr">
        <is>
          <t>7i77</t>
        </is>
      </c>
      <c r="I46" s="22" t="inlineStr">
        <is>
          <t>TB6</t>
        </is>
      </c>
      <c r="J46" s="22" t="inlineStr">
        <is>
          <t>Spare OUT</t>
        </is>
      </c>
      <c r="K46" s="23" t="inlineStr">
        <is>
          <t>spindle-orient-cmd</t>
        </is>
      </c>
      <c r="L46" s="23" t="inlineStr">
        <is>
          <t>FR-SX orient input or hydraulic orient circuit</t>
        </is>
      </c>
      <c r="M46" s="23" t="inlineStr">
        <is>
          <t>Verify in cabinet</t>
        </is>
      </c>
      <c r="N46" s="23" t="inlineStr">
        <is>
          <t>Needed for ATC depending on original design.</t>
        </is>
      </c>
    </row>
    <row r="47" ht="27.75" customHeight="1" s="18">
      <c r="B47" s="23" t="inlineStr">
        <is>
          <t>CONTROL_READY_CHAIN</t>
        </is>
      </c>
      <c r="C47" s="22" t="n"/>
      <c r="D47" s="22" t="inlineStr">
        <is>
          <t>Safety/control</t>
        </is>
      </c>
      <c r="E47" s="23" t="inlineStr">
        <is>
          <t>Control ready output into original Mazak ready chain</t>
        </is>
      </c>
      <c r="F47" s="22" t="inlineStr">
        <is>
          <t>TBD</t>
        </is>
      </c>
      <c r="G47" s="22" t="inlineStr">
        <is>
          <t>OUT</t>
        </is>
      </c>
      <c r="H47" s="22" t="inlineStr">
        <is>
          <t>7i77</t>
        </is>
      </c>
      <c r="I47" s="22" t="inlineStr">
        <is>
          <t>TB6</t>
        </is>
      </c>
      <c r="J47" s="22" t="inlineStr">
        <is>
          <t>Spare OUT</t>
        </is>
      </c>
      <c r="K47" s="22" t="inlineStr">
        <is>
          <t>control-ready</t>
        </is>
      </c>
      <c r="L47" s="23" t="inlineStr">
        <is>
          <t>Original ready relay chain</t>
        </is>
      </c>
      <c r="M47" s="23" t="inlineStr">
        <is>
          <t>Verify in cabinet</t>
        </is>
      </c>
      <c r="N47" s="22" t="n"/>
    </row>
    <row r="48" ht="27.75" customHeight="1" s="18">
      <c r="B48" s="23" t="inlineStr">
        <is>
          <t>HYD_PUMP_CONTACTOR</t>
        </is>
      </c>
      <c r="C48" s="22" t="n"/>
      <c r="D48" s="22" t="inlineStr">
        <is>
          <t>Hydraulic</t>
        </is>
      </c>
      <c r="E48" s="23" t="inlineStr">
        <is>
          <t>Main hydraulic pump contactor</t>
        </is>
      </c>
      <c r="F48" s="22" t="inlineStr">
        <is>
          <t>TBD</t>
        </is>
      </c>
      <c r="G48" s="22" t="inlineStr">
        <is>
          <t>OUT</t>
        </is>
      </c>
      <c r="H48" s="22" t="inlineStr">
        <is>
          <t>7i77</t>
        </is>
      </c>
      <c r="I48" s="22" t="inlineStr">
        <is>
          <t>TB6</t>
        </is>
      </c>
      <c r="J48" s="22" t="inlineStr">
        <is>
          <t>Spare OUT</t>
        </is>
      </c>
      <c r="K48" s="22" t="inlineStr">
        <is>
          <t>hyd-pump-on</t>
        </is>
      </c>
      <c r="L48" s="23" t="inlineStr">
        <is>
          <t>Hydraulic pump contactor coil</t>
        </is>
      </c>
      <c r="M48" s="22" t="inlineStr">
        <is>
          <t>Optional</t>
        </is>
      </c>
      <c r="N48" s="23" t="inlineStr">
        <is>
          <t>Could stay hardwired/legacy.</t>
        </is>
      </c>
    </row>
    <row r="49" ht="27.75" customHeight="1" s="18">
      <c r="B49" s="22" t="inlineStr">
        <is>
          <t>LUBE_PUMP</t>
        </is>
      </c>
      <c r="C49" s="22" t="n"/>
      <c r="D49" s="22" t="inlineStr">
        <is>
          <t>Utility</t>
        </is>
      </c>
      <c r="E49" s="23" t="inlineStr">
        <is>
          <t>Main lube pump if switched</t>
        </is>
      </c>
      <c r="F49" s="22" t="inlineStr">
        <is>
          <t>TBD</t>
        </is>
      </c>
      <c r="G49" s="22" t="inlineStr">
        <is>
          <t>OUT</t>
        </is>
      </c>
      <c r="H49" s="22" t="inlineStr">
        <is>
          <t>7i77</t>
        </is>
      </c>
      <c r="I49" s="22" t="inlineStr">
        <is>
          <t>TB6</t>
        </is>
      </c>
      <c r="J49" s="22" t="inlineStr">
        <is>
          <t>Spare OUT</t>
        </is>
      </c>
      <c r="K49" s="22" t="inlineStr">
        <is>
          <t>lube-pump-on</t>
        </is>
      </c>
      <c r="L49" s="23" t="inlineStr">
        <is>
          <t>Lube pump circuit</t>
        </is>
      </c>
      <c r="M49" s="22" t="inlineStr">
        <is>
          <t>Optional</t>
        </is>
      </c>
      <c r="N49" s="23" t="inlineStr">
        <is>
          <t>Only if not continuous/autonomous.</t>
        </is>
      </c>
    </row>
    <row r="50" ht="27.75" customHeight="1" s="18">
      <c r="B50" s="22" t="inlineStr">
        <is>
          <t>TOOL_CLAMPED</t>
        </is>
      </c>
      <c r="C50" s="22" t="inlineStr">
        <is>
          <t>PRS-9</t>
        </is>
      </c>
      <c r="D50" s="22" t="inlineStr">
        <is>
          <t>ATC/tool clamp</t>
        </is>
      </c>
      <c r="E50" s="23" t="inlineStr">
        <is>
          <t>Tool clamped sensor</t>
        </is>
      </c>
      <c r="F50" s="22" t="inlineStr">
        <is>
          <t>NO assumed</t>
        </is>
      </c>
      <c r="G50" s="22" t="inlineStr">
        <is>
          <t>IN</t>
        </is>
      </c>
      <c r="H50" s="22" t="inlineStr">
        <is>
          <t>7i84</t>
        </is>
      </c>
      <c r="I50" s="22" t="inlineStr">
        <is>
          <t>TB1</t>
        </is>
      </c>
      <c r="J50" s="22" t="inlineStr">
        <is>
          <t>IN0</t>
        </is>
      </c>
      <c r="K50" s="22" t="inlineStr">
        <is>
          <t>tool-clamped</t>
        </is>
      </c>
      <c r="L50" s="23" t="inlineStr">
        <is>
          <t>Tool clamp prox</t>
        </is>
      </c>
      <c r="M50" s="23" t="inlineStr">
        <is>
          <t>Confirmed from notes</t>
        </is>
      </c>
      <c r="N50" s="22" t="n"/>
    </row>
    <row r="51" ht="27.75" customHeight="1" s="18">
      <c r="B51" s="22" t="inlineStr">
        <is>
          <t>TOOL_UNCLAMPED</t>
        </is>
      </c>
      <c r="C51" s="22" t="inlineStr">
        <is>
          <t>PRS-8</t>
        </is>
      </c>
      <c r="D51" s="22" t="inlineStr">
        <is>
          <t>ATC/tool clamp</t>
        </is>
      </c>
      <c r="E51" s="23" t="inlineStr">
        <is>
          <t>Tool unclamped sensor</t>
        </is>
      </c>
      <c r="F51" s="22" t="inlineStr">
        <is>
          <t>NO assumed</t>
        </is>
      </c>
      <c r="G51" s="22" t="inlineStr">
        <is>
          <t>IN</t>
        </is>
      </c>
      <c r="H51" s="22" t="inlineStr">
        <is>
          <t>7i84</t>
        </is>
      </c>
      <c r="I51" s="22" t="inlineStr">
        <is>
          <t>TB1</t>
        </is>
      </c>
      <c r="J51" s="22" t="inlineStr">
        <is>
          <t>IN1</t>
        </is>
      </c>
      <c r="K51" s="22" t="inlineStr">
        <is>
          <t>tool-unclamped</t>
        </is>
      </c>
      <c r="L51" s="23" t="inlineStr">
        <is>
          <t>Tool unclamp prox</t>
        </is>
      </c>
      <c r="M51" s="23" t="inlineStr">
        <is>
          <t>Confirmed from notes</t>
        </is>
      </c>
      <c r="N51" s="22" t="n"/>
    </row>
    <row r="52" ht="27.75" customHeight="1" s="18">
      <c r="B52" s="22" t="inlineStr">
        <is>
          <t>ATC_ZONE_Y</t>
        </is>
      </c>
      <c r="C52" s="22" t="n"/>
      <c r="D52" s="22" t="inlineStr">
        <is>
          <t>ATC interlock</t>
        </is>
      </c>
      <c r="E52" s="23" t="inlineStr">
        <is>
          <t>Y axis in tool-change zone</t>
        </is>
      </c>
      <c r="F52" s="22" t="inlineStr">
        <is>
          <t>NO assumed</t>
        </is>
      </c>
      <c r="G52" s="22" t="inlineStr">
        <is>
          <t>IN</t>
        </is>
      </c>
      <c r="H52" s="22" t="inlineStr">
        <is>
          <t>7i84</t>
        </is>
      </c>
      <c r="I52" s="22" t="inlineStr">
        <is>
          <t>TB1</t>
        </is>
      </c>
      <c r="J52" s="22" t="inlineStr">
        <is>
          <t>IN2</t>
        </is>
      </c>
      <c r="K52" s="22" t="inlineStr">
        <is>
          <t>atc-y-zone</t>
        </is>
      </c>
      <c r="L52" s="23" t="inlineStr">
        <is>
          <t>Axis-zone prox if present</t>
        </is>
      </c>
      <c r="M52" s="23" t="inlineStr">
        <is>
          <t>Verify in cabinet</t>
        </is>
      </c>
      <c r="N52" s="23" t="inlineStr">
        <is>
          <t>May be software position only or separate switch.</t>
        </is>
      </c>
    </row>
    <row r="53" ht="27.75" customHeight="1" s="18">
      <c r="B53" s="22" t="inlineStr">
        <is>
          <t>ATC_ZONE_Z</t>
        </is>
      </c>
      <c r="C53" s="22" t="n"/>
      <c r="D53" s="22" t="inlineStr">
        <is>
          <t>ATC interlock</t>
        </is>
      </c>
      <c r="E53" s="23" t="inlineStr">
        <is>
          <t>Z axis in tool-change zone</t>
        </is>
      </c>
      <c r="F53" s="22" t="inlineStr">
        <is>
          <t>NO assumed</t>
        </is>
      </c>
      <c r="G53" s="22" t="inlineStr">
        <is>
          <t>IN</t>
        </is>
      </c>
      <c r="H53" s="22" t="inlineStr">
        <is>
          <t>7i84</t>
        </is>
      </c>
      <c r="I53" s="22" t="inlineStr">
        <is>
          <t>TB1</t>
        </is>
      </c>
      <c r="J53" s="22" t="inlineStr">
        <is>
          <t>IN3</t>
        </is>
      </c>
      <c r="K53" s="22" t="inlineStr">
        <is>
          <t>atc-z-zone</t>
        </is>
      </c>
      <c r="L53" s="23" t="inlineStr">
        <is>
          <t>Axis-zone prox if present</t>
        </is>
      </c>
      <c r="M53" s="23" t="inlineStr">
        <is>
          <t>Verify in cabinet</t>
        </is>
      </c>
      <c r="N53" s="22" t="n"/>
    </row>
    <row r="54" ht="27.75" customHeight="1" s="18">
      <c r="B54" s="23" t="inlineStr">
        <is>
          <t>MAG_IN_POSITION</t>
        </is>
      </c>
      <c r="C54" s="22" t="inlineStr">
        <is>
          <t>PRS-13</t>
        </is>
      </c>
      <c r="D54" s="22" t="inlineStr">
        <is>
          <t>Magazine</t>
        </is>
      </c>
      <c r="E54" s="23" t="inlineStr">
        <is>
          <t>Magazine indexed/in-position</t>
        </is>
      </c>
      <c r="F54" s="22" t="inlineStr">
        <is>
          <t>NO assumed</t>
        </is>
      </c>
      <c r="G54" s="22" t="inlineStr">
        <is>
          <t>IN</t>
        </is>
      </c>
      <c r="H54" s="22" t="inlineStr">
        <is>
          <t>7i84</t>
        </is>
      </c>
      <c r="I54" s="22" t="inlineStr">
        <is>
          <t>TB1</t>
        </is>
      </c>
      <c r="J54" s="22" t="inlineStr">
        <is>
          <t>IN4</t>
        </is>
      </c>
      <c r="K54" s="22" t="inlineStr">
        <is>
          <t>mag-in-pos</t>
        </is>
      </c>
      <c r="L54" s="23" t="inlineStr">
        <is>
          <t>Magazine in-position prox</t>
        </is>
      </c>
      <c r="M54" s="23" t="inlineStr">
        <is>
          <t>Confirmed from notes</t>
        </is>
      </c>
      <c r="N54" s="22" t="n"/>
    </row>
    <row r="55" ht="27.75" customHeight="1" s="18">
      <c r="B55" s="22" t="inlineStr">
        <is>
          <t>TOOL_BIT0</t>
        </is>
      </c>
      <c r="C55" s="22" t="inlineStr">
        <is>
          <t>PRS-21</t>
        </is>
      </c>
      <c r="D55" s="22" t="inlineStr">
        <is>
          <t>Magazine</t>
        </is>
      </c>
      <c r="E55" s="23" t="inlineStr">
        <is>
          <t>Magazine tool code bit 0</t>
        </is>
      </c>
      <c r="F55" s="22" t="inlineStr">
        <is>
          <t>NO assumed</t>
        </is>
      </c>
      <c r="G55" s="22" t="inlineStr">
        <is>
          <t>IN</t>
        </is>
      </c>
      <c r="H55" s="22" t="inlineStr">
        <is>
          <t>7i84</t>
        </is>
      </c>
      <c r="I55" s="22" t="inlineStr">
        <is>
          <t>TB1</t>
        </is>
      </c>
      <c r="J55" s="22" t="inlineStr">
        <is>
          <t>IN5</t>
        </is>
      </c>
      <c r="K55" s="22" t="inlineStr">
        <is>
          <t>tool-code-0</t>
        </is>
      </c>
      <c r="L55" s="23" t="inlineStr">
        <is>
          <t>Tool position prox</t>
        </is>
      </c>
      <c r="M55" s="23" t="inlineStr">
        <is>
          <t>Confirmed from notes</t>
        </is>
      </c>
      <c r="N55" s="22" t="n"/>
    </row>
    <row r="56" ht="27.75" customHeight="1" s="18">
      <c r="B56" s="22" t="inlineStr">
        <is>
          <t>TOOL_BIT1</t>
        </is>
      </c>
      <c r="C56" s="22" t="inlineStr">
        <is>
          <t>PRS-22</t>
        </is>
      </c>
      <c r="D56" s="22" t="inlineStr">
        <is>
          <t>Magazine</t>
        </is>
      </c>
      <c r="E56" s="23" t="inlineStr">
        <is>
          <t>Magazine tool code bit 1</t>
        </is>
      </c>
      <c r="F56" s="22" t="inlineStr">
        <is>
          <t>NO assumed</t>
        </is>
      </c>
      <c r="G56" s="22" t="inlineStr">
        <is>
          <t>IN</t>
        </is>
      </c>
      <c r="H56" s="22" t="inlineStr">
        <is>
          <t>7i84</t>
        </is>
      </c>
      <c r="I56" s="22" t="inlineStr">
        <is>
          <t>TB1</t>
        </is>
      </c>
      <c r="J56" s="22" t="inlineStr">
        <is>
          <t>IN6</t>
        </is>
      </c>
      <c r="K56" s="22" t="inlineStr">
        <is>
          <t>tool-code-1</t>
        </is>
      </c>
      <c r="L56" s="23" t="inlineStr">
        <is>
          <t>Tool position prox</t>
        </is>
      </c>
      <c r="M56" s="23" t="inlineStr">
        <is>
          <t>Confirmed from notes</t>
        </is>
      </c>
      <c r="N56" s="22" t="n"/>
    </row>
    <row r="57" ht="27.75" customHeight="1" s="18">
      <c r="B57" s="22" t="inlineStr">
        <is>
          <t>TOOL_BIT2</t>
        </is>
      </c>
      <c r="C57" s="22" t="inlineStr">
        <is>
          <t>PRS-23</t>
        </is>
      </c>
      <c r="D57" s="22" t="inlineStr">
        <is>
          <t>Magazine</t>
        </is>
      </c>
      <c r="E57" s="23" t="inlineStr">
        <is>
          <t>Magazine tool code bit 2</t>
        </is>
      </c>
      <c r="F57" s="22" t="inlineStr">
        <is>
          <t>NO assumed</t>
        </is>
      </c>
      <c r="G57" s="22" t="inlineStr">
        <is>
          <t>IN</t>
        </is>
      </c>
      <c r="H57" s="22" t="inlineStr">
        <is>
          <t>7i84</t>
        </is>
      </c>
      <c r="I57" s="22" t="inlineStr">
        <is>
          <t>TB1</t>
        </is>
      </c>
      <c r="J57" s="22" t="inlineStr">
        <is>
          <t>IN7</t>
        </is>
      </c>
      <c r="K57" s="22" t="inlineStr">
        <is>
          <t>tool-code-2</t>
        </is>
      </c>
      <c r="L57" s="23" t="inlineStr">
        <is>
          <t>Tool position prox</t>
        </is>
      </c>
      <c r="M57" s="23" t="inlineStr">
        <is>
          <t>Confirmed from notes</t>
        </is>
      </c>
      <c r="N57" s="22" t="n"/>
    </row>
    <row r="58" ht="27.75" customHeight="1" s="18">
      <c r="B58" s="22" t="inlineStr">
        <is>
          <t>TOOL_BIT3</t>
        </is>
      </c>
      <c r="C58" s="22" t="inlineStr">
        <is>
          <t>PRS-24</t>
        </is>
      </c>
      <c r="D58" s="22" t="inlineStr">
        <is>
          <t>Magazine</t>
        </is>
      </c>
      <c r="E58" s="23" t="inlineStr">
        <is>
          <t>Magazine tool code bit 3</t>
        </is>
      </c>
      <c r="F58" s="22" t="inlineStr">
        <is>
          <t>NO assumed</t>
        </is>
      </c>
      <c r="G58" s="22" t="inlineStr">
        <is>
          <t>IN</t>
        </is>
      </c>
      <c r="H58" s="22" t="inlineStr">
        <is>
          <t>7i84</t>
        </is>
      </c>
      <c r="I58" s="22" t="inlineStr">
        <is>
          <t>TB1</t>
        </is>
      </c>
      <c r="J58" s="22" t="inlineStr">
        <is>
          <t>IN8</t>
        </is>
      </c>
      <c r="K58" s="22" t="inlineStr">
        <is>
          <t>tool-code-3</t>
        </is>
      </c>
      <c r="L58" s="23" t="inlineStr">
        <is>
          <t>Tool position prox</t>
        </is>
      </c>
      <c r="M58" s="23" t="inlineStr">
        <is>
          <t>Confirmed from notes</t>
        </is>
      </c>
      <c r="N58" s="22" t="n"/>
    </row>
    <row r="59" ht="27.75" customHeight="1" s="18">
      <c r="B59" s="22" t="inlineStr">
        <is>
          <t>TOOL_BIT4</t>
        </is>
      </c>
      <c r="C59" s="22" t="inlineStr">
        <is>
          <t>PRS-25</t>
        </is>
      </c>
      <c r="D59" s="22" t="inlineStr">
        <is>
          <t>Magazine</t>
        </is>
      </c>
      <c r="E59" s="23" t="inlineStr">
        <is>
          <t>Magazine tool code bit 4 if used</t>
        </is>
      </c>
      <c r="F59" s="22" t="inlineStr">
        <is>
          <t>NO assumed</t>
        </is>
      </c>
      <c r="G59" s="22" t="inlineStr">
        <is>
          <t>IN</t>
        </is>
      </c>
      <c r="H59" s="22" t="inlineStr">
        <is>
          <t>7i84</t>
        </is>
      </c>
      <c r="I59" s="22" t="inlineStr">
        <is>
          <t>TB1</t>
        </is>
      </c>
      <c r="J59" s="22" t="inlineStr">
        <is>
          <t>IN9</t>
        </is>
      </c>
      <c r="K59" s="22" t="inlineStr">
        <is>
          <t>tool-code-4</t>
        </is>
      </c>
      <c r="L59" s="23" t="inlineStr">
        <is>
          <t>Tool position prox</t>
        </is>
      </c>
      <c r="M59" s="23" t="inlineStr">
        <is>
          <t>Verify in cabinet</t>
        </is>
      </c>
      <c r="N59" s="23" t="inlineStr">
        <is>
          <t>Depends on magazine tool count.</t>
        </is>
      </c>
    </row>
    <row r="60" ht="27.75" customHeight="1" s="18">
      <c r="B60" s="22" t="inlineStr">
        <is>
          <t>COOLANT_LOW</t>
        </is>
      </c>
      <c r="C60" s="22" t="n"/>
      <c r="D60" s="22" t="inlineStr">
        <is>
          <t>Coolant</t>
        </is>
      </c>
      <c r="E60" s="23" t="inlineStr">
        <is>
          <t>Coolant tank low level</t>
        </is>
      </c>
      <c r="F60" s="22" t="inlineStr">
        <is>
          <t>NO assumed</t>
        </is>
      </c>
      <c r="G60" s="22" t="inlineStr">
        <is>
          <t>IN</t>
        </is>
      </c>
      <c r="H60" s="22" t="inlineStr">
        <is>
          <t>7i84</t>
        </is>
      </c>
      <c r="I60" s="22" t="inlineStr">
        <is>
          <t>TB1</t>
        </is>
      </c>
      <c r="J60" s="22" t="inlineStr">
        <is>
          <t>IN10</t>
        </is>
      </c>
      <c r="K60" s="22" t="inlineStr">
        <is>
          <t>coolant-low</t>
        </is>
      </c>
      <c r="L60" s="23" t="inlineStr">
        <is>
          <t>Coolant tank switch if present</t>
        </is>
      </c>
      <c r="M60" s="22" t="inlineStr">
        <is>
          <t>Optional</t>
        </is>
      </c>
      <c r="N60" s="22" t="n"/>
    </row>
    <row r="61" ht="27.75" customHeight="1" s="18">
      <c r="B61" s="22" t="inlineStr">
        <is>
          <t>AIR_PRESS_OK</t>
        </is>
      </c>
      <c r="C61" s="22" t="n"/>
      <c r="D61" s="22" t="inlineStr">
        <is>
          <t>Pneumatic</t>
        </is>
      </c>
      <c r="E61" s="23" t="inlineStr">
        <is>
          <t>Shop air pressure OK</t>
        </is>
      </c>
      <c r="F61" s="22" t="inlineStr">
        <is>
          <t>NO assumed</t>
        </is>
      </c>
      <c r="G61" s="22" t="inlineStr">
        <is>
          <t>IN</t>
        </is>
      </c>
      <c r="H61" s="22" t="inlineStr">
        <is>
          <t>7i84</t>
        </is>
      </c>
      <c r="I61" s="22" t="inlineStr">
        <is>
          <t>TB1</t>
        </is>
      </c>
      <c r="J61" s="22" t="inlineStr">
        <is>
          <t>IN11</t>
        </is>
      </c>
      <c r="K61" s="22" t="inlineStr">
        <is>
          <t>air-ok</t>
        </is>
      </c>
      <c r="L61" s="23" t="inlineStr">
        <is>
          <t>Air pressure switch</t>
        </is>
      </c>
      <c r="M61" s="23" t="inlineStr">
        <is>
          <t>Verify in cabinet</t>
        </is>
      </c>
      <c r="N61" s="23" t="inlineStr">
        <is>
          <t>Needed if air blast/tool functions depend on air.</t>
        </is>
      </c>
    </row>
    <row r="62" ht="27.75" customHeight="1" s="18">
      <c r="B62" s="23" t="inlineStr">
        <is>
          <t>MAG_COVER_CLOSED</t>
        </is>
      </c>
      <c r="C62" s="22" t="n"/>
      <c r="D62" s="22" t="inlineStr">
        <is>
          <t>Magazine</t>
        </is>
      </c>
      <c r="E62" s="23" t="inlineStr">
        <is>
          <t>Magazine cover closed</t>
        </is>
      </c>
      <c r="F62" s="22" t="inlineStr">
        <is>
          <t>TBD</t>
        </is>
      </c>
      <c r="G62" s="22" t="inlineStr">
        <is>
          <t>IN</t>
        </is>
      </c>
      <c r="H62" s="22" t="inlineStr">
        <is>
          <t>7i84</t>
        </is>
      </c>
      <c r="I62" s="22" t="inlineStr">
        <is>
          <t>TB1</t>
        </is>
      </c>
      <c r="J62" s="22" t="inlineStr">
        <is>
          <t>Spare IN</t>
        </is>
      </c>
      <c r="K62" s="23" t="inlineStr">
        <is>
          <t>mag-cover-closed</t>
        </is>
      </c>
      <c r="L62" s="23" t="inlineStr">
        <is>
          <t>Cover switch if present</t>
        </is>
      </c>
      <c r="M62" s="23" t="inlineStr">
        <is>
          <t>Verify in cabinet</t>
        </is>
      </c>
      <c r="N62" s="22" t="n"/>
    </row>
    <row r="63" ht="27.75" customHeight="1" s="18">
      <c r="B63" s="22" t="inlineStr">
        <is>
          <t>COOLANT_TOGGLE</t>
        </is>
      </c>
      <c r="C63" s="22" t="n"/>
      <c r="D63" s="22" t="inlineStr">
        <is>
          <t>Panel</t>
        </is>
      </c>
      <c r="E63" s="23" t="inlineStr">
        <is>
          <t>Coolant toggle button</t>
        </is>
      </c>
      <c r="F63" s="22" t="inlineStr">
        <is>
          <t>NO momentary</t>
        </is>
      </c>
      <c r="G63" s="22" t="inlineStr">
        <is>
          <t>IN</t>
        </is>
      </c>
      <c r="H63" s="22" t="inlineStr">
        <is>
          <t>7i84</t>
        </is>
      </c>
      <c r="I63" s="22" t="inlineStr">
        <is>
          <t>TB1</t>
        </is>
      </c>
      <c r="J63" s="22" t="inlineStr">
        <is>
          <t>Spare IN</t>
        </is>
      </c>
      <c r="K63" s="22" t="inlineStr">
        <is>
          <t>coolant-toggle</t>
        </is>
      </c>
      <c r="L63" s="22" t="inlineStr">
        <is>
          <t>Operator panel</t>
        </is>
      </c>
      <c r="M63" s="22" t="inlineStr">
        <is>
          <t>Optional</t>
        </is>
      </c>
      <c r="N63" s="22" t="n"/>
    </row>
    <row r="64" ht="27.75" customHeight="1" s="18">
      <c r="B64" s="23" t="inlineStr">
        <is>
          <t>SPINDLE_OVERRIDE_CONTACTS</t>
        </is>
      </c>
      <c r="C64" s="22" t="n"/>
      <c r="D64" s="22" t="inlineStr">
        <is>
          <t>Panel</t>
        </is>
      </c>
      <c r="E64" s="23" t="inlineStr">
        <is>
          <t>Spindle override selector contacts</t>
        </is>
      </c>
      <c r="F64" s="22" t="inlineStr">
        <is>
          <t>TBD</t>
        </is>
      </c>
      <c r="G64" s="22" t="inlineStr">
        <is>
          <t>IN</t>
        </is>
      </c>
      <c r="H64" s="22" t="inlineStr">
        <is>
          <t>7i84</t>
        </is>
      </c>
      <c r="I64" s="22" t="inlineStr">
        <is>
          <t>TB1</t>
        </is>
      </c>
      <c r="J64" s="22" t="inlineStr">
        <is>
          <t>Spare IN</t>
        </is>
      </c>
      <c r="K64" s="23" t="inlineStr">
        <is>
          <t>spindle-override-sel</t>
        </is>
      </c>
      <c r="L64" s="22" t="inlineStr">
        <is>
          <t>Operator panel</t>
        </is>
      </c>
      <c r="M64" s="22" t="inlineStr">
        <is>
          <t>Optional</t>
        </is>
      </c>
      <c r="N64" s="23" t="inlineStr">
        <is>
          <t>If analog/pot, not a simple DI.</t>
        </is>
      </c>
    </row>
    <row r="65" ht="27.75" customHeight="1" s="18">
      <c r="B65" s="22" t="inlineStr">
        <is>
          <t>ATC_HOME_PB</t>
        </is>
      </c>
      <c r="C65" s="22" t="n"/>
      <c r="D65" s="22" t="inlineStr">
        <is>
          <t>Panel/ATC</t>
        </is>
      </c>
      <c r="E65" s="23" t="inlineStr">
        <is>
          <t>ATC home or magazine jog button</t>
        </is>
      </c>
      <c r="F65" s="22" t="inlineStr">
        <is>
          <t>NO momentary</t>
        </is>
      </c>
      <c r="G65" s="22" t="inlineStr">
        <is>
          <t>IN</t>
        </is>
      </c>
      <c r="H65" s="22" t="inlineStr">
        <is>
          <t>7i84</t>
        </is>
      </c>
      <c r="I65" s="22" t="inlineStr">
        <is>
          <t>TB1</t>
        </is>
      </c>
      <c r="J65" s="22" t="inlineStr">
        <is>
          <t>Spare IN</t>
        </is>
      </c>
      <c r="K65" s="22" t="inlineStr">
        <is>
          <t>atc-home-pb</t>
        </is>
      </c>
      <c r="L65" s="23" t="inlineStr">
        <is>
          <t>Operator panel/custom button</t>
        </is>
      </c>
      <c r="M65" s="22" t="inlineStr">
        <is>
          <t>Optional</t>
        </is>
      </c>
      <c r="N65" s="22" t="n"/>
    </row>
    <row r="66" ht="27.75" customHeight="1" s="18">
      <c r="B66" s="23" t="inlineStr">
        <is>
          <t>CHIP_CONV_FAULT</t>
        </is>
      </c>
      <c r="C66" s="22" t="n"/>
      <c r="D66" s="22" t="inlineStr">
        <is>
          <t>Chip handling</t>
        </is>
      </c>
      <c r="E66" s="23" t="inlineStr">
        <is>
          <t>Chip conveyor overload/fault</t>
        </is>
      </c>
      <c r="F66" s="22" t="inlineStr">
        <is>
          <t>TBD</t>
        </is>
      </c>
      <c r="G66" s="22" t="inlineStr">
        <is>
          <t>IN</t>
        </is>
      </c>
      <c r="H66" s="22" t="inlineStr">
        <is>
          <t>7i84</t>
        </is>
      </c>
      <c r="I66" s="22" t="inlineStr">
        <is>
          <t>TB1</t>
        </is>
      </c>
      <c r="J66" s="22" t="inlineStr">
        <is>
          <t>Spare IN</t>
        </is>
      </c>
      <c r="K66" s="23" t="inlineStr">
        <is>
          <t>chip-conveyor-fault</t>
        </is>
      </c>
      <c r="L66" s="23" t="inlineStr">
        <is>
          <t>Future conveyor overload</t>
        </is>
      </c>
      <c r="M66" s="22" t="inlineStr">
        <is>
          <t>Optional</t>
        </is>
      </c>
      <c r="N66" s="22" t="inlineStr">
        <is>
          <t>Future.</t>
        </is>
      </c>
    </row>
    <row r="67" ht="27.75" customHeight="1" s="18">
      <c r="B67" s="23" t="inlineStr">
        <is>
          <t>TOOL_UNCLAMP_SOL</t>
        </is>
      </c>
      <c r="C67" s="22" t="inlineStr">
        <is>
          <t>SOL-10</t>
        </is>
      </c>
      <c r="D67" s="22" t="inlineStr">
        <is>
          <t>ATC/tool clamp</t>
        </is>
      </c>
      <c r="E67" s="23" t="inlineStr">
        <is>
          <t>Tool unclamp solenoid</t>
        </is>
      </c>
      <c r="F67" s="23" t="inlineStr">
        <is>
          <t>Active-high assumed</t>
        </is>
      </c>
      <c r="G67" s="22" t="inlineStr">
        <is>
          <t>OUT</t>
        </is>
      </c>
      <c r="H67" s="22" t="inlineStr">
        <is>
          <t>7i84</t>
        </is>
      </c>
      <c r="I67" s="22" t="inlineStr">
        <is>
          <t>TB2</t>
        </is>
      </c>
      <c r="J67" s="22" t="inlineStr">
        <is>
          <t>OUT0</t>
        </is>
      </c>
      <c r="K67" s="23" t="inlineStr">
        <is>
          <t>tool-unclamp-sol</t>
        </is>
      </c>
      <c r="L67" s="23" t="inlineStr">
        <is>
          <t>Hydraulic valve coil</t>
        </is>
      </c>
      <c r="M67" s="23" t="inlineStr">
        <is>
          <t>Confirmed from notes</t>
        </is>
      </c>
      <c r="N67" s="23" t="inlineStr">
        <is>
          <t>Verify coil voltage/current before direct output.</t>
        </is>
      </c>
    </row>
    <row r="68" ht="27.75" customHeight="1" s="18">
      <c r="B68" s="22" t="inlineStr">
        <is>
          <t>MAG_CW_SOL</t>
        </is>
      </c>
      <c r="C68" s="22" t="inlineStr">
        <is>
          <t>SOL-8A</t>
        </is>
      </c>
      <c r="D68" s="22" t="inlineStr">
        <is>
          <t>Magazine</t>
        </is>
      </c>
      <c r="E68" s="23" t="inlineStr">
        <is>
          <t>Magazine rotate CW/forward</t>
        </is>
      </c>
      <c r="F68" s="23" t="inlineStr">
        <is>
          <t>Active-high assumed</t>
        </is>
      </c>
      <c r="G68" s="22" t="inlineStr">
        <is>
          <t>OUT</t>
        </is>
      </c>
      <c r="H68" s="22" t="inlineStr">
        <is>
          <t>7i84</t>
        </is>
      </c>
      <c r="I68" s="22" t="inlineStr">
        <is>
          <t>TB2</t>
        </is>
      </c>
      <c r="J68" s="22" t="inlineStr">
        <is>
          <t>OUT1</t>
        </is>
      </c>
      <c r="K68" s="22" t="inlineStr">
        <is>
          <t>mag-cw-sol</t>
        </is>
      </c>
      <c r="L68" s="23" t="inlineStr">
        <is>
          <t>Hydraulic valve coil</t>
        </is>
      </c>
      <c r="M68" s="23" t="inlineStr">
        <is>
          <t>Confirmed from notes</t>
        </is>
      </c>
      <c r="N68" s="22" t="n"/>
    </row>
    <row r="69" ht="27.75" customHeight="1" s="18">
      <c r="B69" s="22" t="inlineStr">
        <is>
          <t>MAG_CCW_SOL</t>
        </is>
      </c>
      <c r="C69" s="22" t="inlineStr">
        <is>
          <t>SOL-8B</t>
        </is>
      </c>
      <c r="D69" s="22" t="inlineStr">
        <is>
          <t>Magazine</t>
        </is>
      </c>
      <c r="E69" s="23" t="inlineStr">
        <is>
          <t>Magazine rotate CCW/reverse</t>
        </is>
      </c>
      <c r="F69" s="23" t="inlineStr">
        <is>
          <t>Active-high assumed</t>
        </is>
      </c>
      <c r="G69" s="22" t="inlineStr">
        <is>
          <t>OUT</t>
        </is>
      </c>
      <c r="H69" s="22" t="inlineStr">
        <is>
          <t>7i84</t>
        </is>
      </c>
      <c r="I69" s="22" t="inlineStr">
        <is>
          <t>TB2</t>
        </is>
      </c>
      <c r="J69" s="22" t="inlineStr">
        <is>
          <t>OUT2</t>
        </is>
      </c>
      <c r="K69" s="22" t="inlineStr">
        <is>
          <t>mag-ccw-sol</t>
        </is>
      </c>
      <c r="L69" s="23" t="inlineStr">
        <is>
          <t>Hydraulic valve coil</t>
        </is>
      </c>
      <c r="M69" s="23" t="inlineStr">
        <is>
          <t>Confirmed from notes</t>
        </is>
      </c>
      <c r="N69" s="22" t="n"/>
    </row>
    <row r="70" ht="27.75" customHeight="1" s="18">
      <c r="B70" s="22" t="inlineStr">
        <is>
          <t>MAG_COVER_OPEN</t>
        </is>
      </c>
      <c r="C70" s="22" t="inlineStr">
        <is>
          <t>M15</t>
        </is>
      </c>
      <c r="D70" s="22" t="inlineStr">
        <is>
          <t>Magazine</t>
        </is>
      </c>
      <c r="E70" s="23" t="inlineStr">
        <is>
          <t>Magazine cover open solenoid</t>
        </is>
      </c>
      <c r="F70" s="23" t="inlineStr">
        <is>
          <t>Active-high assumed</t>
        </is>
      </c>
      <c r="G70" s="22" t="inlineStr">
        <is>
          <t>OUT</t>
        </is>
      </c>
      <c r="H70" s="22" t="inlineStr">
        <is>
          <t>7i84</t>
        </is>
      </c>
      <c r="I70" s="22" t="inlineStr">
        <is>
          <t>TB2</t>
        </is>
      </c>
      <c r="J70" s="22" t="inlineStr">
        <is>
          <t>OUT3</t>
        </is>
      </c>
      <c r="K70" s="22" t="inlineStr">
        <is>
          <t>mag-cover-open</t>
        </is>
      </c>
      <c r="L70" s="23" t="inlineStr">
        <is>
          <t>Cover solenoid if separate</t>
        </is>
      </c>
      <c r="M70" s="23" t="inlineStr">
        <is>
          <t>Verify in cabinet</t>
        </is>
      </c>
      <c r="N70" s="23" t="inlineStr">
        <is>
          <t>Only if separate solenoid present.</t>
        </is>
      </c>
    </row>
    <row r="71" ht="27.75" customHeight="1" s="18">
      <c r="B71" s="23" t="inlineStr">
        <is>
          <t>MAG_COVER_CLOSE</t>
        </is>
      </c>
      <c r="C71" s="22" t="inlineStr">
        <is>
          <t>M16</t>
        </is>
      </c>
      <c r="D71" s="22" t="inlineStr">
        <is>
          <t>Magazine</t>
        </is>
      </c>
      <c r="E71" s="23" t="inlineStr">
        <is>
          <t>Magazine cover close solenoid</t>
        </is>
      </c>
      <c r="F71" s="23" t="inlineStr">
        <is>
          <t>Active-high assumed</t>
        </is>
      </c>
      <c r="G71" s="22" t="inlineStr">
        <is>
          <t>OUT</t>
        </is>
      </c>
      <c r="H71" s="22" t="inlineStr">
        <is>
          <t>7i84</t>
        </is>
      </c>
      <c r="I71" s="22" t="inlineStr">
        <is>
          <t>TB2</t>
        </is>
      </c>
      <c r="J71" s="22" t="inlineStr">
        <is>
          <t>OUT4</t>
        </is>
      </c>
      <c r="K71" s="23" t="inlineStr">
        <is>
          <t>mag-cover-close</t>
        </is>
      </c>
      <c r="L71" s="23" t="inlineStr">
        <is>
          <t>Cover solenoid if separate</t>
        </is>
      </c>
      <c r="M71" s="23" t="inlineStr">
        <is>
          <t>Verify in cabinet</t>
        </is>
      </c>
      <c r="N71" s="22" t="n"/>
    </row>
    <row r="72" ht="27.75" customHeight="1" s="18">
      <c r="B72" s="22" t="inlineStr">
        <is>
          <t>FLOOD_COOLANT</t>
        </is>
      </c>
      <c r="C72" s="22" t="inlineStr">
        <is>
          <t>M08</t>
        </is>
      </c>
      <c r="D72" s="22" t="inlineStr">
        <is>
          <t>Coolant</t>
        </is>
      </c>
      <c r="E72" s="23" t="inlineStr">
        <is>
          <t>Flood coolant pump contactor</t>
        </is>
      </c>
      <c r="F72" s="23" t="inlineStr">
        <is>
          <t>Active-high assumed</t>
        </is>
      </c>
      <c r="G72" s="22" t="inlineStr">
        <is>
          <t>OUT</t>
        </is>
      </c>
      <c r="H72" s="22" t="inlineStr">
        <is>
          <t>7i84</t>
        </is>
      </c>
      <c r="I72" s="22" t="inlineStr">
        <is>
          <t>TB2</t>
        </is>
      </c>
      <c r="J72" s="22" t="inlineStr">
        <is>
          <t>OUT5</t>
        </is>
      </c>
      <c r="K72" s="22" t="inlineStr">
        <is>
          <t>flood-coolant</t>
        </is>
      </c>
      <c r="L72" s="23" t="inlineStr">
        <is>
          <t>Coolant contactor/relay</t>
        </is>
      </c>
      <c r="M72" s="23" t="inlineStr">
        <is>
          <t>Confirmed from notes</t>
        </is>
      </c>
      <c r="N72" s="23" t="inlineStr">
        <is>
          <t>May need interposing relay.</t>
        </is>
      </c>
    </row>
    <row r="73" ht="27.75" customHeight="1" s="18">
      <c r="B73" s="22" t="inlineStr">
        <is>
          <t>MIST_COOLANT</t>
        </is>
      </c>
      <c r="C73" s="22" t="inlineStr">
        <is>
          <t>M07</t>
        </is>
      </c>
      <c r="D73" s="22" t="inlineStr">
        <is>
          <t>Coolant</t>
        </is>
      </c>
      <c r="E73" s="23" t="inlineStr">
        <is>
          <t>Mist coolant valve</t>
        </is>
      </c>
      <c r="F73" s="23" t="inlineStr">
        <is>
          <t>Active-high assumed</t>
        </is>
      </c>
      <c r="G73" s="22" t="inlineStr">
        <is>
          <t>OUT</t>
        </is>
      </c>
      <c r="H73" s="22" t="inlineStr">
        <is>
          <t>7i84</t>
        </is>
      </c>
      <c r="I73" s="22" t="inlineStr">
        <is>
          <t>TB2</t>
        </is>
      </c>
      <c r="J73" s="22" t="inlineStr">
        <is>
          <t>OUT6</t>
        </is>
      </c>
      <c r="K73" s="22" t="inlineStr">
        <is>
          <t>mist-coolant</t>
        </is>
      </c>
      <c r="L73" s="23" t="inlineStr">
        <is>
          <t>Mist valve if present</t>
        </is>
      </c>
      <c r="M73" s="22" t="inlineStr">
        <is>
          <t>Optional</t>
        </is>
      </c>
      <c r="N73" s="22" t="n"/>
    </row>
    <row r="74" ht="27.75" customHeight="1" s="18">
      <c r="B74" s="22" t="inlineStr">
        <is>
          <t>AIR_BLAST_1</t>
        </is>
      </c>
      <c r="C74" s="22" t="inlineStr">
        <is>
          <t>M50</t>
        </is>
      </c>
      <c r="D74" s="22" t="inlineStr">
        <is>
          <t>Air</t>
        </is>
      </c>
      <c r="E74" s="23" t="inlineStr">
        <is>
          <t>Workpiece air blast 1</t>
        </is>
      </c>
      <c r="F74" s="23" t="inlineStr">
        <is>
          <t>Active-high assumed</t>
        </is>
      </c>
      <c r="G74" s="22" t="inlineStr">
        <is>
          <t>OUT</t>
        </is>
      </c>
      <c r="H74" s="22" t="inlineStr">
        <is>
          <t>7i84</t>
        </is>
      </c>
      <c r="I74" s="22" t="inlineStr">
        <is>
          <t>TB2</t>
        </is>
      </c>
      <c r="J74" s="22" t="inlineStr">
        <is>
          <t>OUT7</t>
        </is>
      </c>
      <c r="K74" s="22" t="inlineStr">
        <is>
          <t>air-blast-1</t>
        </is>
      </c>
      <c r="L74" s="22" t="inlineStr">
        <is>
          <t>Air solenoid</t>
        </is>
      </c>
      <c r="M74" s="23" t="inlineStr">
        <is>
          <t>Confirmed from notes</t>
        </is>
      </c>
      <c r="N74" s="22" t="n"/>
    </row>
    <row r="75" ht="27.75" customHeight="1" s="18">
      <c r="B75" s="22" t="inlineStr">
        <is>
          <t>AIR_BLAST_2</t>
        </is>
      </c>
      <c r="C75" s="22" t="inlineStr">
        <is>
          <t>M53</t>
        </is>
      </c>
      <c r="D75" s="22" t="inlineStr">
        <is>
          <t>Air</t>
        </is>
      </c>
      <c r="E75" s="23" t="inlineStr">
        <is>
          <t>Workpiece air blast 2</t>
        </is>
      </c>
      <c r="F75" s="23" t="inlineStr">
        <is>
          <t>Active-high assumed</t>
        </is>
      </c>
      <c r="G75" s="22" t="inlineStr">
        <is>
          <t>OUT</t>
        </is>
      </c>
      <c r="H75" s="22" t="inlineStr">
        <is>
          <t>7i84</t>
        </is>
      </c>
      <c r="I75" s="22" t="inlineStr">
        <is>
          <t>TB2</t>
        </is>
      </c>
      <c r="J75" s="22" t="inlineStr">
        <is>
          <t>OUT8</t>
        </is>
      </c>
      <c r="K75" s="22" t="inlineStr">
        <is>
          <t>air-blast-2</t>
        </is>
      </c>
      <c r="L75" s="22" t="inlineStr">
        <is>
          <t>Air solenoid</t>
        </is>
      </c>
      <c r="M75" s="23" t="inlineStr">
        <is>
          <t>Confirmed from notes</t>
        </is>
      </c>
      <c r="N75" s="22" t="n"/>
    </row>
    <row r="76" ht="27.75" customHeight="1" s="18">
      <c r="B76" s="22" t="inlineStr">
        <is>
          <t>TAP_COOLANT</t>
        </is>
      </c>
      <c r="C76" s="22" t="inlineStr">
        <is>
          <t>M52</t>
        </is>
      </c>
      <c r="D76" s="22" t="inlineStr">
        <is>
          <t>Coolant</t>
        </is>
      </c>
      <c r="E76" s="23" t="inlineStr">
        <is>
          <t>Tap coolant valve</t>
        </is>
      </c>
      <c r="F76" s="23" t="inlineStr">
        <is>
          <t>Active-high assumed</t>
        </is>
      </c>
      <c r="G76" s="22" t="inlineStr">
        <is>
          <t>OUT</t>
        </is>
      </c>
      <c r="H76" s="22" t="inlineStr">
        <is>
          <t>7i84</t>
        </is>
      </c>
      <c r="I76" s="22" t="inlineStr">
        <is>
          <t>TB2</t>
        </is>
      </c>
      <c r="J76" s="22" t="inlineStr">
        <is>
          <t>OUT9</t>
        </is>
      </c>
      <c r="K76" s="22" t="inlineStr">
        <is>
          <t>tap-coolant</t>
        </is>
      </c>
      <c r="L76" s="23" t="inlineStr">
        <is>
          <t>Tap coolant valve if plumbed</t>
        </is>
      </c>
      <c r="M76" s="22" t="inlineStr">
        <is>
          <t>Optional</t>
        </is>
      </c>
      <c r="N76" s="22" t="n"/>
    </row>
    <row r="77" ht="27.75" customHeight="1" s="18">
      <c r="B77" s="22" t="inlineStr">
        <is>
          <t>WORK_LIGHT</t>
        </is>
      </c>
      <c r="C77" s="22" t="n"/>
      <c r="D77" s="22" t="inlineStr">
        <is>
          <t>Utility</t>
        </is>
      </c>
      <c r="E77" s="22" t="inlineStr">
        <is>
          <t>Work light</t>
        </is>
      </c>
      <c r="F77" s="23" t="inlineStr">
        <is>
          <t>Active-high assumed</t>
        </is>
      </c>
      <c r="G77" s="22" t="inlineStr">
        <is>
          <t>OUT</t>
        </is>
      </c>
      <c r="H77" s="22" t="inlineStr">
        <is>
          <t>7i84</t>
        </is>
      </c>
      <c r="I77" s="22" t="inlineStr">
        <is>
          <t>TB2</t>
        </is>
      </c>
      <c r="J77" s="22" t="inlineStr">
        <is>
          <t>OUT10</t>
        </is>
      </c>
      <c r="K77" s="22" t="inlineStr">
        <is>
          <t>work-light</t>
        </is>
      </c>
      <c r="L77" s="23" t="inlineStr">
        <is>
          <t>Work light circuit</t>
        </is>
      </c>
      <c r="M77" s="22" t="inlineStr">
        <is>
          <t>Optional</t>
        </is>
      </c>
      <c r="N77" s="22" t="n"/>
    </row>
    <row r="78" ht="27.75" customHeight="1" s="18">
      <c r="B78" s="23" t="inlineStr">
        <is>
          <t>CHIP_CONVEYOR_ON</t>
        </is>
      </c>
      <c r="C78" s="22" t="n"/>
      <c r="D78" s="22" t="inlineStr">
        <is>
          <t>Chip handling</t>
        </is>
      </c>
      <c r="E78" s="23" t="inlineStr">
        <is>
          <t>Chip conveyor on/off</t>
        </is>
      </c>
      <c r="F78" s="23" t="inlineStr">
        <is>
          <t>Active-high assumed</t>
        </is>
      </c>
      <c r="G78" s="22" t="inlineStr">
        <is>
          <t>OUT</t>
        </is>
      </c>
      <c r="H78" s="22" t="inlineStr">
        <is>
          <t>7i84</t>
        </is>
      </c>
      <c r="I78" s="22" t="inlineStr">
        <is>
          <t>TB2</t>
        </is>
      </c>
      <c r="J78" s="22" t="inlineStr">
        <is>
          <t>Spare OUT</t>
        </is>
      </c>
      <c r="K78" s="23" t="inlineStr">
        <is>
          <t>chip-conveyor-on</t>
        </is>
      </c>
      <c r="L78" s="23" t="inlineStr">
        <is>
          <t>Future conveyor contactor</t>
        </is>
      </c>
      <c r="M78" s="22" t="inlineStr">
        <is>
          <t>Optional</t>
        </is>
      </c>
      <c r="N78" s="22" t="inlineStr">
        <is>
          <t>Future.</t>
        </is>
      </c>
    </row>
    <row r="79" ht="27.75" customHeight="1" s="18">
      <c r="B79" s="23" t="inlineStr">
        <is>
          <t>STACK_LIGHT_GREEN</t>
        </is>
      </c>
      <c r="C79" s="22" t="n"/>
      <c r="D79" s="22" t="inlineStr">
        <is>
          <t>Indicator</t>
        </is>
      </c>
      <c r="E79" s="23" t="inlineStr">
        <is>
          <t>Green stack light</t>
        </is>
      </c>
      <c r="F79" s="23" t="inlineStr">
        <is>
          <t>Active-high assumed</t>
        </is>
      </c>
      <c r="G79" s="22" t="inlineStr">
        <is>
          <t>OUT</t>
        </is>
      </c>
      <c r="H79" s="22" t="inlineStr">
        <is>
          <t>7i84</t>
        </is>
      </c>
      <c r="I79" s="22" t="inlineStr">
        <is>
          <t>TB2</t>
        </is>
      </c>
      <c r="J79" s="22" t="inlineStr">
        <is>
          <t>Spare OUT</t>
        </is>
      </c>
      <c r="K79" s="22" t="inlineStr">
        <is>
          <t>stack-green</t>
        </is>
      </c>
      <c r="L79" s="23" t="inlineStr">
        <is>
          <t>Future stack light</t>
        </is>
      </c>
      <c r="M79" s="22" t="inlineStr">
        <is>
          <t>Optional</t>
        </is>
      </c>
      <c r="N79" s="22" t="inlineStr">
        <is>
          <t>Future.</t>
        </is>
      </c>
    </row>
    <row r="80" ht="27.75" customHeight="1" s="18">
      <c r="B80" s="23" t="inlineStr">
        <is>
          <t>STACK_LIGHT_RED</t>
        </is>
      </c>
      <c r="C80" s="22" t="n"/>
      <c r="D80" s="22" t="inlineStr">
        <is>
          <t>Indicator</t>
        </is>
      </c>
      <c r="E80" s="23" t="inlineStr">
        <is>
          <t>Red stack light</t>
        </is>
      </c>
      <c r="F80" s="23" t="inlineStr">
        <is>
          <t>Active-high assumed</t>
        </is>
      </c>
      <c r="G80" s="22" t="inlineStr">
        <is>
          <t>OUT</t>
        </is>
      </c>
      <c r="H80" s="22" t="inlineStr">
        <is>
          <t>7i84</t>
        </is>
      </c>
      <c r="I80" s="22" t="inlineStr">
        <is>
          <t>TB2</t>
        </is>
      </c>
      <c r="J80" s="22" t="inlineStr">
        <is>
          <t>Spare OUT</t>
        </is>
      </c>
      <c r="K80" s="22" t="inlineStr">
        <is>
          <t>stack-red</t>
        </is>
      </c>
      <c r="L80" s="23" t="inlineStr">
        <is>
          <t>Future stack light</t>
        </is>
      </c>
      <c r="M80" s="22" t="inlineStr">
        <is>
          <t>Optional</t>
        </is>
      </c>
      <c r="N80" s="22" t="inlineStr">
        <is>
          <t>Future.</t>
        </is>
      </c>
    </row>
    <row r="81" ht="27.75" customHeight="1" s="18">
      <c r="B81" s="22" t="inlineStr">
        <is>
          <t>P24_BUS</t>
        </is>
      </c>
      <c r="C81" s="22" t="inlineStr">
        <is>
          <t>P24 / +24V</t>
        </is>
      </c>
      <c r="D81" s="22" t="inlineStr">
        <is>
          <t>Power</t>
        </is>
      </c>
      <c r="E81" s="23" t="inlineStr">
        <is>
          <t>24 VDC positive control bus</t>
        </is>
      </c>
      <c r="F81" s="22" t="inlineStr">
        <is>
          <t>24 VDC</t>
        </is>
      </c>
      <c r="G81" s="22" t="inlineStr">
        <is>
          <t>POWER</t>
        </is>
      </c>
      <c r="H81" s="22" t="inlineStr">
        <is>
          <t>HR-11F-24</t>
        </is>
      </c>
      <c r="I81" s="22" t="inlineStr">
        <is>
          <t>Terminal strip</t>
        </is>
      </c>
      <c r="J81" s="22" t="inlineStr">
        <is>
          <t>+ / P24</t>
        </is>
      </c>
      <c r="K81" s="22" t="inlineStr">
        <is>
          <t>p24-bus</t>
        </is>
      </c>
      <c r="L81" s="23" t="inlineStr">
        <is>
          <t>Nemic-Lambda + output to Mazak I/O bus</t>
        </is>
      </c>
      <c r="M81" s="23" t="inlineStr">
        <is>
          <t>Confirmed from notes</t>
        </is>
      </c>
      <c r="N81" s="23" t="inlineStr">
        <is>
          <t>Verify actual wire numbers and distribution fusing.</t>
        </is>
      </c>
    </row>
    <row r="82" ht="27.75" customHeight="1" s="18">
      <c r="B82" s="22" t="inlineStr">
        <is>
          <t>G24_BUS</t>
        </is>
      </c>
      <c r="C82" s="22" t="inlineStr">
        <is>
          <t>G24 / 0V</t>
        </is>
      </c>
      <c r="D82" s="22" t="inlineStr">
        <is>
          <t>Power</t>
        </is>
      </c>
      <c r="E82" s="23" t="inlineStr">
        <is>
          <t>24 VDC common/return bus</t>
        </is>
      </c>
      <c r="F82" s="22" t="inlineStr">
        <is>
          <t>0 VDC</t>
        </is>
      </c>
      <c r="G82" s="22" t="inlineStr">
        <is>
          <t>POWER</t>
        </is>
      </c>
      <c r="H82" s="22" t="inlineStr">
        <is>
          <t>HR-11F-24</t>
        </is>
      </c>
      <c r="I82" s="22" t="inlineStr">
        <is>
          <t>Terminal strip</t>
        </is>
      </c>
      <c r="J82" s="22" t="inlineStr">
        <is>
          <t>- / G24</t>
        </is>
      </c>
      <c r="K82" s="22" t="inlineStr">
        <is>
          <t>g24-bus</t>
        </is>
      </c>
      <c r="L82" s="23" t="inlineStr">
        <is>
          <t>Nemic-Lambda - output to Mazak I/O bus</t>
        </is>
      </c>
      <c r="M82" s="23" t="inlineStr">
        <is>
          <t>Confirmed from notes</t>
        </is>
      </c>
      <c r="N82" s="23" t="inlineStr">
        <is>
          <t>Keep returns referenced to original star/common point.</t>
        </is>
      </c>
    </row>
    <row r="83" ht="27.75" customHeight="1" s="18">
      <c r="B83" s="23" t="inlineStr">
        <is>
          <t>HR24_REMOTE_SENSE_PLUS</t>
        </is>
      </c>
      <c r="C83" s="22" t="inlineStr">
        <is>
          <t>+S</t>
        </is>
      </c>
      <c r="D83" s="22" t="inlineStr">
        <is>
          <t>Power</t>
        </is>
      </c>
      <c r="E83" s="23" t="inlineStr">
        <is>
          <t>24 V remote sense plus</t>
        </is>
      </c>
      <c r="F83" s="22" t="inlineStr">
        <is>
          <t>Sense</t>
        </is>
      </c>
      <c r="G83" s="22" t="inlineStr">
        <is>
          <t>POWER</t>
        </is>
      </c>
      <c r="H83" s="22" t="inlineStr">
        <is>
          <t>HR-11F-24</t>
        </is>
      </c>
      <c r="I83" s="22" t="inlineStr">
        <is>
          <t>PSU</t>
        </is>
      </c>
      <c r="J83" s="22" t="inlineStr">
        <is>
          <t>+S</t>
        </is>
      </c>
      <c r="K83" s="22" t="n"/>
      <c r="L83" s="23" t="inlineStr">
        <is>
          <t>Supply sense wire</t>
        </is>
      </c>
      <c r="M83" s="23" t="inlineStr">
        <is>
          <t>Verify in cabinet</t>
        </is>
      </c>
      <c r="N83" s="23" t="inlineStr">
        <is>
          <t>Often lands at P24 bus or jumpered to +.</t>
        </is>
      </c>
    </row>
    <row r="84" ht="27.75" customHeight="1" s="18">
      <c r="B84" s="23" t="inlineStr">
        <is>
          <t>HR24_REMOTE_SENSE_MINUS</t>
        </is>
      </c>
      <c r="C84" s="22" t="inlineStr">
        <is>
          <t>-S</t>
        </is>
      </c>
      <c r="D84" s="22" t="inlineStr">
        <is>
          <t>Power</t>
        </is>
      </c>
      <c r="E84" s="23" t="inlineStr">
        <is>
          <t>24 V remote sense minus</t>
        </is>
      </c>
      <c r="F84" s="22" t="inlineStr">
        <is>
          <t>Sense</t>
        </is>
      </c>
      <c r="G84" s="22" t="inlineStr">
        <is>
          <t>POWER</t>
        </is>
      </c>
      <c r="H84" s="22" t="inlineStr">
        <is>
          <t>HR-11F-24</t>
        </is>
      </c>
      <c r="I84" s="22" t="inlineStr">
        <is>
          <t>PSU</t>
        </is>
      </c>
      <c r="J84" s="22" t="inlineStr">
        <is>
          <t>-S</t>
        </is>
      </c>
      <c r="K84" s="22" t="n"/>
      <c r="L84" s="23" t="inlineStr">
        <is>
          <t>Supply sense wire</t>
        </is>
      </c>
      <c r="M84" s="23" t="inlineStr">
        <is>
          <t>Verify in cabinet</t>
        </is>
      </c>
      <c r="N84" s="23" t="inlineStr">
        <is>
          <t>Often lands at G24 bus or jumpered to -.</t>
        </is>
      </c>
    </row>
    <row r="85" ht="27.75" customHeight="1" s="18">
      <c r="B85" s="23" t="inlineStr">
        <is>
          <t>HR24_REMOTE_CONTROL</t>
        </is>
      </c>
      <c r="C85" s="22" t="inlineStr">
        <is>
          <t>TOG/CNT</t>
        </is>
      </c>
      <c r="D85" s="22" t="inlineStr">
        <is>
          <t>Power</t>
        </is>
      </c>
      <c r="E85" s="23" t="inlineStr">
        <is>
          <t>Remote on/off/control pair</t>
        </is>
      </c>
      <c r="F85" s="22" t="inlineStr">
        <is>
          <t>TBD</t>
        </is>
      </c>
      <c r="G85" s="22" t="inlineStr">
        <is>
          <t>LOGIC</t>
        </is>
      </c>
      <c r="H85" s="22" t="inlineStr">
        <is>
          <t>HR-11F-24</t>
        </is>
      </c>
      <c r="I85" s="22" t="inlineStr">
        <is>
          <t>PSU</t>
        </is>
      </c>
      <c r="J85" s="22" t="inlineStr">
        <is>
          <t>TOG/CNT</t>
        </is>
      </c>
      <c r="K85" s="22" t="n"/>
      <c r="L85" s="23" t="inlineStr">
        <is>
          <t>PSU control terminals</t>
        </is>
      </c>
      <c r="M85" s="23" t="inlineStr">
        <is>
          <t>Verify in cabinet</t>
        </is>
      </c>
      <c r="N85" s="23" t="inlineStr">
        <is>
          <t>Do not disturb until traced; may be in estop/ready chain.</t>
        </is>
      </c>
    </row>
    <row r="86" ht="27.75" customHeight="1" s="18">
      <c r="B86" s="23" t="inlineStr">
        <is>
          <t>HR24_FRAME_GROUND</t>
        </is>
      </c>
      <c r="C86" s="22" t="inlineStr">
        <is>
          <t>FG</t>
        </is>
      </c>
      <c r="D86" s="22" t="inlineStr">
        <is>
          <t>Grounding</t>
        </is>
      </c>
      <c r="E86" s="23" t="inlineStr">
        <is>
          <t>Frame ground / PE bond</t>
        </is>
      </c>
      <c r="F86" s="22" t="inlineStr">
        <is>
          <t>PE</t>
        </is>
      </c>
      <c r="G86" s="22" t="inlineStr">
        <is>
          <t>POWER</t>
        </is>
      </c>
      <c r="H86" s="22" t="inlineStr">
        <is>
          <t>HR-11F-24</t>
        </is>
      </c>
      <c r="I86" s="22" t="inlineStr">
        <is>
          <t>PSU</t>
        </is>
      </c>
      <c r="J86" s="22" t="inlineStr">
        <is>
          <t>FG</t>
        </is>
      </c>
      <c r="K86" s="22" t="n"/>
      <c r="L86" s="22" t="inlineStr">
        <is>
          <t>Cabinet PE bar</t>
        </is>
      </c>
      <c r="M86" s="23" t="inlineStr">
        <is>
          <t>Confirmed from notes</t>
        </is>
      </c>
      <c r="N86" s="23" t="inlineStr">
        <is>
          <t>Bond to cabinet protective earth.</t>
        </is>
      </c>
    </row>
    <row r="87" ht="27.75" customHeight="1" s="18">
      <c r="B87" s="22" t="inlineStr">
        <is>
          <t>HR24_AC_LINE</t>
        </is>
      </c>
      <c r="C87" s="22" t="inlineStr">
        <is>
          <t>L/N</t>
        </is>
      </c>
      <c r="D87" s="22" t="inlineStr">
        <is>
          <t>Power</t>
        </is>
      </c>
      <c r="E87" s="23" t="inlineStr">
        <is>
          <t>100-120 VAC input from control transformer</t>
        </is>
      </c>
      <c r="F87" s="22" t="inlineStr">
        <is>
          <t>AC input</t>
        </is>
      </c>
      <c r="G87" s="22" t="inlineStr">
        <is>
          <t>POWER</t>
        </is>
      </c>
      <c r="H87" s="22" t="inlineStr">
        <is>
          <t>Existing Mazak</t>
        </is>
      </c>
      <c r="I87" s="22" t="inlineStr">
        <is>
          <t>PSU</t>
        </is>
      </c>
      <c r="J87" s="22" t="inlineStr">
        <is>
          <t>L/N</t>
        </is>
      </c>
      <c r="K87" s="22" t="n"/>
      <c r="L87" s="23" t="inlineStr">
        <is>
          <t>Control transformer secondary</t>
        </is>
      </c>
      <c r="M87" s="23" t="inlineStr">
        <is>
          <t>Confirmed from notes</t>
        </is>
      </c>
      <c r="N87" s="23" t="inlineStr">
        <is>
          <t>Do not re-tap transformer without measurement.</t>
        </is>
      </c>
    </row>
    <row r="88" ht="27.75" customHeight="1" s="18">
      <c r="B88" s="22" t="inlineStr">
        <is>
          <t>PENDANT_USB</t>
        </is>
      </c>
      <c r="C88" s="22" t="inlineStr">
        <is>
          <t>WHB04B</t>
        </is>
      </c>
      <c r="D88" s="22" t="inlineStr">
        <is>
          <t>Pendant</t>
        </is>
      </c>
      <c r="E88" s="23" t="inlineStr">
        <is>
          <t>Wireless pendant USB receiver</t>
        </is>
      </c>
      <c r="F88" s="22" t="inlineStr">
        <is>
          <t>USB</t>
        </is>
      </c>
      <c r="G88" s="22" t="inlineStr">
        <is>
          <t>USB</t>
        </is>
      </c>
      <c r="H88" s="22" t="inlineStr">
        <is>
          <t>LinuxCNC USB</t>
        </is>
      </c>
      <c r="I88" s="22" t="inlineStr">
        <is>
          <t>PC USB</t>
        </is>
      </c>
      <c r="J88" s="22" t="inlineStr">
        <is>
          <t>USB</t>
        </is>
      </c>
      <c r="K88" s="22" t="inlineStr">
        <is>
          <t>pendant-*</t>
        </is>
      </c>
      <c r="L88" s="23" t="inlineStr">
        <is>
          <t>Tower PC USB port</t>
        </is>
      </c>
      <c r="M88" s="22" t="inlineStr">
        <is>
          <t>Optional</t>
        </is>
      </c>
      <c r="N88" s="23" t="inlineStr">
        <is>
          <t>Use USB extension to move receiver near cabinet door.</t>
        </is>
      </c>
    </row>
  </sheetData>
  <autoFilter ref="B5:N88"/>
  <mergeCells count="1">
    <mergeCell ref="B2:N2"/>
  </mergeCells>
  <conditionalFormatting sqref="B6:Z88">
    <cfRule type="expression" rank="0" priority="2" equalAverage="0" aboveAverage="0" dxfId="7" text="" percent="0" bottom="0">
      <formula>$M6="Confirmed from notes"</formula>
    </cfRule>
    <cfRule type="expression" rank="0" priority="3" equalAverage="0" aboveAverage="0" dxfId="8" text="" percent="0" bottom="0">
      <formula>$M6="Inferred / likely"</formula>
    </cfRule>
    <cfRule type="expression" rank="0" priority="4" equalAverage="0" aboveAverage="0" dxfId="8" text="" percent="0" bottom="0">
      <formula>$M6="Verify in cabinet"</formula>
    </cfRule>
    <cfRule type="expression" rank="0" priority="5" equalAverage="0" aboveAverage="0" dxfId="8" text="" percent="0" bottom="0">
      <formula>$M6="Measure before buying"</formula>
    </cfRule>
    <cfRule type="expression" rank="0" priority="6" equalAverage="0" aboveAverage="0" dxfId="9" text="" percent="0" bottom="0">
      <formula>$M6="Optional"</formula>
    </cfRule>
  </conditionalFormatting>
  <dataValidations count="3">
    <dataValidation sqref="G6:G88" showDropDown="0" showInputMessage="0" showErrorMessage="0" allowBlank="1" type="list" errorStyle="stop" operator="between">
      <formula1>"IN,OUT,ANALOG OUT,ENCODER IN,POWER,LOGIC,MECHANICAL,USB,TBD"</formula1>
      <formula2>0</formula2>
    </dataValidation>
    <dataValidation sqref="H6:H88" showDropDown="0" showInputMessage="0" showErrorMessage="0" allowBlank="1" type="list" errorStyle="stop" operator="between">
      <formula1>"6i25,7i77,7i84,7i85/7i85S,LinuxCNC USB,Existing Mazak,HR-11F-24,DIN rail / panel,TBD"</formula1>
      <formula2>0</formula2>
    </dataValidation>
    <dataValidation sqref="M6:M88" showDropDown="0" showInputMessage="0" showErrorMessage="0" allowBlank="1" type="list" errorStyle="stop" operator="between">
      <formula1>"Confirmed from notes,Inferred / likely,Verify in cabinet,Measure before buying,Optional,TBD"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B2:N4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17" min="1" max="1"/>
    <col width="40" customWidth="1" style="17" min="2" max="2"/>
    <col width="25.51" customWidth="1" style="17" min="3" max="3"/>
    <col width="17.4" customWidth="1" style="17" min="4" max="4"/>
    <col width="40" customWidth="1" style="17" min="5" max="6"/>
    <col width="12" customWidth="1" style="17" min="7" max="7"/>
    <col width="11.1" customWidth="1" style="17" min="8" max="8"/>
    <col width="12" customWidth="1" style="17" min="9" max="9"/>
    <col width="19.2" customWidth="1" style="17" min="10" max="11"/>
    <col width="40" customWidth="1" style="17" min="12" max="12"/>
    <col width="21" customWidth="1" style="17" min="13" max="13"/>
    <col width="40" customWidth="1" style="17" min="14" max="14"/>
  </cols>
  <sheetData>
    <row r="1" ht="27.75" customHeight="1" s="18"/>
    <row r="2" ht="27.75" customHeight="1" s="18">
      <c r="B2" s="19" t="inlineStr">
        <is>
          <t>7i77 Axis, Spindle, and Safety I/O</t>
        </is>
      </c>
    </row>
    <row r="3" ht="27.75" customHeight="1" s="18">
      <c r="B3" s="20" t="inlineStr">
        <is>
          <t>Critical motion/safety rows intended to land on the 7i77. Keep these close to axis/spindle drive wiring and existing safety/ready chains.</t>
        </is>
      </c>
    </row>
    <row r="4" ht="27.75" customHeight="1" s="18"/>
    <row r="5" ht="27.75" customHeight="1" s="18">
      <c r="B5" s="21" t="inlineStr">
        <is>
          <t>Machine Signal Name</t>
        </is>
      </c>
      <c r="C5" s="21" t="inlineStr">
        <is>
          <t>Mazak Label / Drawing Ref</t>
        </is>
      </c>
      <c r="D5" s="21" t="inlineStr">
        <is>
          <t>Subsystem</t>
        </is>
      </c>
      <c r="E5" s="21" t="inlineStr">
        <is>
          <t>Function</t>
        </is>
      </c>
      <c r="F5" s="21" t="inlineStr">
        <is>
          <t>Normal State / Type</t>
        </is>
      </c>
      <c r="G5" s="21" t="inlineStr">
        <is>
          <t>Direction</t>
        </is>
      </c>
      <c r="H5" s="21" t="inlineStr">
        <is>
          <t>Mesa Card</t>
        </is>
      </c>
      <c r="I5" s="21" t="inlineStr">
        <is>
          <t>Mesa Conn</t>
        </is>
      </c>
      <c r="J5" s="21" t="inlineStr">
        <is>
          <t>Mesa Bit / Channel</t>
        </is>
      </c>
      <c r="K5" s="21" t="inlineStr">
        <is>
          <t>LinuxCNC HAL Net</t>
        </is>
      </c>
      <c r="L5" s="21" t="inlineStr">
        <is>
          <t>Cabinet Landing / Origin</t>
        </is>
      </c>
      <c r="M5" s="21" t="inlineStr">
        <is>
          <t>Status</t>
        </is>
      </c>
      <c r="N5" s="21" t="inlineStr">
        <is>
          <t>Notes</t>
        </is>
      </c>
    </row>
    <row r="6" ht="27.75" customHeight="1" s="18">
      <c r="B6" s="22" t="inlineStr">
        <is>
          <t>X_AXIS_CMD</t>
        </is>
      </c>
      <c r="C6" s="22" t="n"/>
      <c r="D6" s="22" t="inlineStr">
        <is>
          <t>Motion</t>
        </is>
      </c>
      <c r="E6" s="23" t="inlineStr">
        <is>
          <t>X servo analog command</t>
        </is>
      </c>
      <c r="F6" s="22" t="inlineStr">
        <is>
          <t>±10 V</t>
        </is>
      </c>
      <c r="G6" s="22" t="inlineStr">
        <is>
          <t>ANALOG OUT</t>
        </is>
      </c>
      <c r="H6" s="22" t="inlineStr">
        <is>
          <t>7i77</t>
        </is>
      </c>
      <c r="I6" s="22" t="inlineStr">
        <is>
          <t>Analog TB</t>
        </is>
      </c>
      <c r="J6" s="22" t="inlineStr">
        <is>
          <t>AO0</t>
        </is>
      </c>
      <c r="K6" s="22" t="inlineStr">
        <is>
          <t>x-vel-cmd</t>
        </is>
      </c>
      <c r="L6" s="23" t="inlineStr">
        <is>
          <t>X servo amp command input</t>
        </is>
      </c>
      <c r="M6" s="23" t="inlineStr">
        <is>
          <t>Inferred / likely</t>
        </is>
      </c>
      <c r="N6" s="23" t="inlineStr">
        <is>
          <t>Confirm velocity/torque input terminals and polarity.</t>
        </is>
      </c>
    </row>
    <row r="7" ht="27.75" customHeight="1" s="18">
      <c r="B7" s="22" t="inlineStr">
        <is>
          <t>Y_AXIS_CMD</t>
        </is>
      </c>
      <c r="C7" s="22" t="n"/>
      <c r="D7" s="22" t="inlineStr">
        <is>
          <t>Motion</t>
        </is>
      </c>
      <c r="E7" s="23" t="inlineStr">
        <is>
          <t>Y servo analog command</t>
        </is>
      </c>
      <c r="F7" s="22" t="inlineStr">
        <is>
          <t>±10 V</t>
        </is>
      </c>
      <c r="G7" s="22" t="inlineStr">
        <is>
          <t>ANALOG OUT</t>
        </is>
      </c>
      <c r="H7" s="22" t="inlineStr">
        <is>
          <t>7i77</t>
        </is>
      </c>
      <c r="I7" s="22" t="inlineStr">
        <is>
          <t>Analog TB</t>
        </is>
      </c>
      <c r="J7" s="22" t="inlineStr">
        <is>
          <t>AO1</t>
        </is>
      </c>
      <c r="K7" s="22" t="inlineStr">
        <is>
          <t>y-vel-cmd</t>
        </is>
      </c>
      <c r="L7" s="23" t="inlineStr">
        <is>
          <t>Y servo amp command input</t>
        </is>
      </c>
      <c r="M7" s="23" t="inlineStr">
        <is>
          <t>Inferred / likely</t>
        </is>
      </c>
      <c r="N7" s="22" t="n"/>
    </row>
    <row r="8" ht="27.75" customHeight="1" s="18">
      <c r="B8" s="22" t="inlineStr">
        <is>
          <t>Z_AXIS_CMD</t>
        </is>
      </c>
      <c r="C8" s="22" t="n"/>
      <c r="D8" s="22" t="inlineStr">
        <is>
          <t>Motion</t>
        </is>
      </c>
      <c r="E8" s="23" t="inlineStr">
        <is>
          <t>Z servo analog command</t>
        </is>
      </c>
      <c r="F8" s="22" t="inlineStr">
        <is>
          <t>±10 V</t>
        </is>
      </c>
      <c r="G8" s="22" t="inlineStr">
        <is>
          <t>ANALOG OUT</t>
        </is>
      </c>
      <c r="H8" s="22" t="inlineStr">
        <is>
          <t>7i77</t>
        </is>
      </c>
      <c r="I8" s="22" t="inlineStr">
        <is>
          <t>Analog TB</t>
        </is>
      </c>
      <c r="J8" s="22" t="inlineStr">
        <is>
          <t>AO2</t>
        </is>
      </c>
      <c r="K8" s="22" t="inlineStr">
        <is>
          <t>z-vel-cmd</t>
        </is>
      </c>
      <c r="L8" s="23" t="inlineStr">
        <is>
          <t>Z servo amp command input</t>
        </is>
      </c>
      <c r="M8" s="23" t="inlineStr">
        <is>
          <t>Inferred / likely</t>
        </is>
      </c>
      <c r="N8" s="22" t="n"/>
    </row>
    <row r="9" ht="27.75" customHeight="1" s="18">
      <c r="B9" s="23" t="inlineStr">
        <is>
          <t>SPINDLE_SPEED_CMD</t>
        </is>
      </c>
      <c r="C9" s="22" t="n"/>
      <c r="D9" s="22" t="inlineStr">
        <is>
          <t>Spindle</t>
        </is>
      </c>
      <c r="E9" s="23" t="inlineStr">
        <is>
          <t>FR-SX speed reference</t>
        </is>
      </c>
      <c r="F9" s="23" t="inlineStr">
        <is>
          <t>0-10 V or ±10 V</t>
        </is>
      </c>
      <c r="G9" s="22" t="inlineStr">
        <is>
          <t>ANALOG OUT</t>
        </is>
      </c>
      <c r="H9" s="22" t="inlineStr">
        <is>
          <t>7i77</t>
        </is>
      </c>
      <c r="I9" s="22" t="inlineStr">
        <is>
          <t>Analog TB</t>
        </is>
      </c>
      <c r="J9" s="22" t="inlineStr">
        <is>
          <t>AO3</t>
        </is>
      </c>
      <c r="K9" s="23" t="inlineStr">
        <is>
          <t>spindle-speed-cmd</t>
        </is>
      </c>
      <c r="L9" s="23" t="inlineStr">
        <is>
          <t>FR-SX analog speed input</t>
        </is>
      </c>
      <c r="M9" s="23" t="inlineStr">
        <is>
          <t>Verify in cabinet</t>
        </is>
      </c>
      <c r="N9" s="23" t="inlineStr">
        <is>
          <t>Check FR-SX scaling and isolated/common reference.</t>
        </is>
      </c>
    </row>
    <row r="10" ht="27.75" customHeight="1" s="18">
      <c r="B10" s="22" t="inlineStr">
        <is>
          <t>X_ENCODER</t>
        </is>
      </c>
      <c r="C10" s="22" t="n"/>
      <c r="D10" s="22" t="inlineStr">
        <is>
          <t>Motion</t>
        </is>
      </c>
      <c r="E10" s="23" t="inlineStr">
        <is>
          <t>X encoder feedback</t>
        </is>
      </c>
      <c r="F10" s="23" t="inlineStr">
        <is>
          <t>Differential quadrature + index if present</t>
        </is>
      </c>
      <c r="G10" s="22" t="inlineStr">
        <is>
          <t>ENCODER IN</t>
        </is>
      </c>
      <c r="H10" s="22" t="inlineStr">
        <is>
          <t>7i77</t>
        </is>
      </c>
      <c r="I10" s="22" t="inlineStr">
        <is>
          <t>Encoder TB</t>
        </is>
      </c>
      <c r="J10" s="22" t="inlineStr">
        <is>
          <t>ENC0</t>
        </is>
      </c>
      <c r="K10" s="22" t="inlineStr">
        <is>
          <t>x-pos-fb</t>
        </is>
      </c>
      <c r="L10" s="23" t="inlineStr">
        <is>
          <t>X motor encoder</t>
        </is>
      </c>
      <c r="M10" s="23" t="inlineStr">
        <is>
          <t>Verify in cabinet</t>
        </is>
      </c>
      <c r="N10" s="23" t="inlineStr">
        <is>
          <t>Identify A/B/Z, supply voltage, shield, counts/rev.</t>
        </is>
      </c>
    </row>
    <row r="11" ht="27.75" customHeight="1" s="18">
      <c r="B11" s="22" t="inlineStr">
        <is>
          <t>Y_ENCODER</t>
        </is>
      </c>
      <c r="C11" s="22" t="n"/>
      <c r="D11" s="22" t="inlineStr">
        <is>
          <t>Motion</t>
        </is>
      </c>
      <c r="E11" s="23" t="inlineStr">
        <is>
          <t>Y encoder feedback</t>
        </is>
      </c>
      <c r="F11" s="23" t="inlineStr">
        <is>
          <t>Differential quadrature + index if present</t>
        </is>
      </c>
      <c r="G11" s="22" t="inlineStr">
        <is>
          <t>ENCODER IN</t>
        </is>
      </c>
      <c r="H11" s="22" t="inlineStr">
        <is>
          <t>7i77</t>
        </is>
      </c>
      <c r="I11" s="22" t="inlineStr">
        <is>
          <t>Encoder TB</t>
        </is>
      </c>
      <c r="J11" s="22" t="inlineStr">
        <is>
          <t>ENC1</t>
        </is>
      </c>
      <c r="K11" s="22" t="inlineStr">
        <is>
          <t>y-pos-fb</t>
        </is>
      </c>
      <c r="L11" s="23" t="inlineStr">
        <is>
          <t>Y motor encoder</t>
        </is>
      </c>
      <c r="M11" s="23" t="inlineStr">
        <is>
          <t>Verify in cabinet</t>
        </is>
      </c>
      <c r="N11" s="22" t="n"/>
    </row>
    <row r="12" ht="27.75" customHeight="1" s="18">
      <c r="B12" s="22" t="inlineStr">
        <is>
          <t>Z_ENCODER</t>
        </is>
      </c>
      <c r="C12" s="22" t="n"/>
      <c r="D12" s="22" t="inlineStr">
        <is>
          <t>Motion</t>
        </is>
      </c>
      <c r="E12" s="23" t="inlineStr">
        <is>
          <t>Z encoder feedback</t>
        </is>
      </c>
      <c r="F12" s="23" t="inlineStr">
        <is>
          <t>Differential quadrature + index if present</t>
        </is>
      </c>
      <c r="G12" s="22" t="inlineStr">
        <is>
          <t>ENCODER IN</t>
        </is>
      </c>
      <c r="H12" s="22" t="inlineStr">
        <is>
          <t>7i77</t>
        </is>
      </c>
      <c r="I12" s="22" t="inlineStr">
        <is>
          <t>Encoder TB</t>
        </is>
      </c>
      <c r="J12" s="22" t="inlineStr">
        <is>
          <t>ENC2</t>
        </is>
      </c>
      <c r="K12" s="22" t="inlineStr">
        <is>
          <t>z-pos-fb</t>
        </is>
      </c>
      <c r="L12" s="23" t="inlineStr">
        <is>
          <t>Z motor encoder</t>
        </is>
      </c>
      <c r="M12" s="23" t="inlineStr">
        <is>
          <t>Verify in cabinet</t>
        </is>
      </c>
      <c r="N12" s="22" t="n"/>
    </row>
    <row r="13" ht="27.75" customHeight="1" s="18">
      <c r="B13" s="23" t="inlineStr">
        <is>
          <t>SPINDLE_ENCODER</t>
        </is>
      </c>
      <c r="C13" s="22" t="n"/>
      <c r="D13" s="22" t="inlineStr">
        <is>
          <t>Spindle</t>
        </is>
      </c>
      <c r="E13" s="23" t="inlineStr">
        <is>
          <t>Spindle pickup/encoder</t>
        </is>
      </c>
      <c r="F13" s="23" t="inlineStr">
        <is>
          <t>Differential or pickup TBD</t>
        </is>
      </c>
      <c r="G13" s="22" t="inlineStr">
        <is>
          <t>ENCODER IN</t>
        </is>
      </c>
      <c r="H13" s="22" t="inlineStr">
        <is>
          <t>7i77</t>
        </is>
      </c>
      <c r="I13" s="22" t="inlineStr">
        <is>
          <t>Encoder TB</t>
        </is>
      </c>
      <c r="J13" s="22" t="inlineStr">
        <is>
          <t>ENC3</t>
        </is>
      </c>
      <c r="K13" s="22" t="inlineStr">
        <is>
          <t>spindle-pos-fb</t>
        </is>
      </c>
      <c r="L13" s="23" t="inlineStr">
        <is>
          <t>Tamagawa pickup / spindle encoder</t>
        </is>
      </c>
      <c r="M13" s="23" t="inlineStr">
        <is>
          <t>Verify in cabinet</t>
        </is>
      </c>
      <c r="N13" s="23" t="inlineStr">
        <is>
          <t>Confirm whether quadrature encoder, magnetic pickup, or proprietary signal.</t>
        </is>
      </c>
    </row>
    <row r="14" ht="27.75" customHeight="1" s="18">
      <c r="B14" s="22" t="inlineStr">
        <is>
          <t>X_HOME</t>
        </is>
      </c>
      <c r="C14" s="22" t="inlineStr">
        <is>
          <t>LS-42</t>
        </is>
      </c>
      <c r="D14" s="22" t="inlineStr">
        <is>
          <t>Axis safety</t>
        </is>
      </c>
      <c r="E14" s="23" t="inlineStr">
        <is>
          <t>X axis zero return switch</t>
        </is>
      </c>
      <c r="F14" s="23" t="inlineStr">
        <is>
          <t>NO, active-high assumed</t>
        </is>
      </c>
      <c r="G14" s="22" t="inlineStr">
        <is>
          <t>IN</t>
        </is>
      </c>
      <c r="H14" s="22" t="inlineStr">
        <is>
          <t>7i77</t>
        </is>
      </c>
      <c r="I14" s="22" t="inlineStr">
        <is>
          <t>TB5</t>
        </is>
      </c>
      <c r="J14" s="22" t="inlineStr">
        <is>
          <t>IN0</t>
        </is>
      </c>
      <c r="K14" s="22" t="inlineStr">
        <is>
          <t>home-x</t>
        </is>
      </c>
      <c r="L14" s="23" t="inlineStr">
        <is>
          <t>Existing field switch / Mazak I/O</t>
        </is>
      </c>
      <c r="M14" s="23" t="inlineStr">
        <is>
          <t>Confirmed from notes</t>
        </is>
      </c>
      <c r="N14" s="23" t="inlineStr">
        <is>
          <t>Normal state must be verified.</t>
        </is>
      </c>
    </row>
    <row r="15" ht="27.75" customHeight="1" s="18">
      <c r="B15" s="22" t="inlineStr">
        <is>
          <t>X_LIMIT_PLUS</t>
        </is>
      </c>
      <c r="C15" s="22" t="inlineStr">
        <is>
          <t>OT+X</t>
        </is>
      </c>
      <c r="D15" s="22" t="inlineStr">
        <is>
          <t>Axis safety</t>
        </is>
      </c>
      <c r="E15" s="23" t="inlineStr">
        <is>
          <t>X positive overtravel limit</t>
        </is>
      </c>
      <c r="F15" s="23" t="inlineStr">
        <is>
          <t>NC, active-low assumed</t>
        </is>
      </c>
      <c r="G15" s="22" t="inlineStr">
        <is>
          <t>IN</t>
        </is>
      </c>
      <c r="H15" s="22" t="inlineStr">
        <is>
          <t>7i77</t>
        </is>
      </c>
      <c r="I15" s="22" t="inlineStr">
        <is>
          <t>TB5</t>
        </is>
      </c>
      <c r="J15" s="22" t="inlineStr">
        <is>
          <t>IN1</t>
        </is>
      </c>
      <c r="K15" s="22" t="inlineStr">
        <is>
          <t>limit-x-plus</t>
        </is>
      </c>
      <c r="L15" s="23" t="inlineStr">
        <is>
          <t>Existing OT chain</t>
        </is>
      </c>
      <c r="M15" s="23" t="inlineStr">
        <is>
          <t>Verify in cabinet</t>
        </is>
      </c>
      <c r="N15" s="23" t="inlineStr">
        <is>
          <t>May be chained rather than separate.</t>
        </is>
      </c>
    </row>
    <row r="16" ht="27.75" customHeight="1" s="18">
      <c r="B16" s="22" t="inlineStr">
        <is>
          <t>X_LIMIT_MINUS</t>
        </is>
      </c>
      <c r="C16" s="22" t="inlineStr">
        <is>
          <t>OT-X</t>
        </is>
      </c>
      <c r="D16" s="22" t="inlineStr">
        <is>
          <t>Axis safety</t>
        </is>
      </c>
      <c r="E16" s="23" t="inlineStr">
        <is>
          <t>X negative overtravel limit</t>
        </is>
      </c>
      <c r="F16" s="23" t="inlineStr">
        <is>
          <t>NC, active-low assumed</t>
        </is>
      </c>
      <c r="G16" s="22" t="inlineStr">
        <is>
          <t>IN</t>
        </is>
      </c>
      <c r="H16" s="22" t="inlineStr">
        <is>
          <t>7i77</t>
        </is>
      </c>
      <c r="I16" s="22" t="inlineStr">
        <is>
          <t>TB5</t>
        </is>
      </c>
      <c r="J16" s="22" t="inlineStr">
        <is>
          <t>IN2</t>
        </is>
      </c>
      <c r="K16" s="22" t="inlineStr">
        <is>
          <t>limit-x-minus</t>
        </is>
      </c>
      <c r="L16" s="23" t="inlineStr">
        <is>
          <t>Existing OT chain</t>
        </is>
      </c>
      <c r="M16" s="23" t="inlineStr">
        <is>
          <t>Verify in cabinet</t>
        </is>
      </c>
      <c r="N16" s="23" t="inlineStr">
        <is>
          <t>May be chained rather than separate.</t>
        </is>
      </c>
    </row>
    <row r="17" ht="27.75" customHeight="1" s="18">
      <c r="B17" s="22" t="inlineStr">
        <is>
          <t>Y_HOME</t>
        </is>
      </c>
      <c r="C17" s="22" t="inlineStr">
        <is>
          <t>LS-52</t>
        </is>
      </c>
      <c r="D17" s="22" t="inlineStr">
        <is>
          <t>Axis safety</t>
        </is>
      </c>
      <c r="E17" s="23" t="inlineStr">
        <is>
          <t>Y axis zero return switch</t>
        </is>
      </c>
      <c r="F17" s="22" t="inlineStr">
        <is>
          <t>NO assumed</t>
        </is>
      </c>
      <c r="G17" s="22" t="inlineStr">
        <is>
          <t>IN</t>
        </is>
      </c>
      <c r="H17" s="22" t="inlineStr">
        <is>
          <t>7i77</t>
        </is>
      </c>
      <c r="I17" s="22" t="inlineStr">
        <is>
          <t>TB5</t>
        </is>
      </c>
      <c r="J17" s="22" t="inlineStr">
        <is>
          <t>IN3</t>
        </is>
      </c>
      <c r="K17" s="22" t="inlineStr">
        <is>
          <t>home-y</t>
        </is>
      </c>
      <c r="L17" s="23" t="inlineStr">
        <is>
          <t>Existing field switch</t>
        </is>
      </c>
      <c r="M17" s="23" t="inlineStr">
        <is>
          <t>Confirmed from notes</t>
        </is>
      </c>
      <c r="N17" s="22" t="n"/>
    </row>
    <row r="18" ht="27.75" customHeight="1" s="18">
      <c r="B18" s="22" t="inlineStr">
        <is>
          <t>Y_LIMIT_PLUS</t>
        </is>
      </c>
      <c r="C18" s="22" t="inlineStr">
        <is>
          <t>OT+Y</t>
        </is>
      </c>
      <c r="D18" s="22" t="inlineStr">
        <is>
          <t>Axis safety</t>
        </is>
      </c>
      <c r="E18" s="23" t="inlineStr">
        <is>
          <t>Y positive overtravel limit</t>
        </is>
      </c>
      <c r="F18" s="22" t="inlineStr">
        <is>
          <t>NC assumed</t>
        </is>
      </c>
      <c r="G18" s="22" t="inlineStr">
        <is>
          <t>IN</t>
        </is>
      </c>
      <c r="H18" s="22" t="inlineStr">
        <is>
          <t>7i77</t>
        </is>
      </c>
      <c r="I18" s="22" t="inlineStr">
        <is>
          <t>TB5</t>
        </is>
      </c>
      <c r="J18" s="22" t="inlineStr">
        <is>
          <t>IN4</t>
        </is>
      </c>
      <c r="K18" s="22" t="inlineStr">
        <is>
          <t>limit-y-plus</t>
        </is>
      </c>
      <c r="L18" s="23" t="inlineStr">
        <is>
          <t>Existing OT chain</t>
        </is>
      </c>
      <c r="M18" s="23" t="inlineStr">
        <is>
          <t>Verify in cabinet</t>
        </is>
      </c>
      <c r="N18" s="22" t="n"/>
    </row>
    <row r="19" ht="27.75" customHeight="1" s="18">
      <c r="B19" s="22" t="inlineStr">
        <is>
          <t>Y_LIMIT_MINUS</t>
        </is>
      </c>
      <c r="C19" s="22" t="inlineStr">
        <is>
          <t>OT-Y</t>
        </is>
      </c>
      <c r="D19" s="22" t="inlineStr">
        <is>
          <t>Axis safety</t>
        </is>
      </c>
      <c r="E19" s="23" t="inlineStr">
        <is>
          <t>Y negative overtravel limit</t>
        </is>
      </c>
      <c r="F19" s="22" t="inlineStr">
        <is>
          <t>NC assumed</t>
        </is>
      </c>
      <c r="G19" s="22" t="inlineStr">
        <is>
          <t>IN</t>
        </is>
      </c>
      <c r="H19" s="22" t="inlineStr">
        <is>
          <t>7i77</t>
        </is>
      </c>
      <c r="I19" s="22" t="inlineStr">
        <is>
          <t>TB5</t>
        </is>
      </c>
      <c r="J19" s="22" t="inlineStr">
        <is>
          <t>IN5</t>
        </is>
      </c>
      <c r="K19" s="22" t="inlineStr">
        <is>
          <t>limit-y-minus</t>
        </is>
      </c>
      <c r="L19" s="23" t="inlineStr">
        <is>
          <t>Existing OT chain</t>
        </is>
      </c>
      <c r="M19" s="23" t="inlineStr">
        <is>
          <t>Verify in cabinet</t>
        </is>
      </c>
      <c r="N19" s="22" t="n"/>
    </row>
    <row r="20" ht="27.75" customHeight="1" s="18">
      <c r="B20" s="22" t="inlineStr">
        <is>
          <t>Z_HOME</t>
        </is>
      </c>
      <c r="C20" s="22" t="inlineStr">
        <is>
          <t>LS-62</t>
        </is>
      </c>
      <c r="D20" s="22" t="inlineStr">
        <is>
          <t>Axis safety</t>
        </is>
      </c>
      <c r="E20" s="23" t="inlineStr">
        <is>
          <t>Z axis zero return switch</t>
        </is>
      </c>
      <c r="F20" s="22" t="inlineStr">
        <is>
          <t>NO assumed</t>
        </is>
      </c>
      <c r="G20" s="22" t="inlineStr">
        <is>
          <t>IN</t>
        </is>
      </c>
      <c r="H20" s="22" t="inlineStr">
        <is>
          <t>7i77</t>
        </is>
      </c>
      <c r="I20" s="22" t="inlineStr">
        <is>
          <t>TB5</t>
        </is>
      </c>
      <c r="J20" s="22" t="inlineStr">
        <is>
          <t>IN6</t>
        </is>
      </c>
      <c r="K20" s="22" t="inlineStr">
        <is>
          <t>home-z</t>
        </is>
      </c>
      <c r="L20" s="23" t="inlineStr">
        <is>
          <t>Existing field switch</t>
        </is>
      </c>
      <c r="M20" s="23" t="inlineStr">
        <is>
          <t>Confirmed from notes</t>
        </is>
      </c>
      <c r="N20" s="22" t="n"/>
    </row>
    <row r="21" ht="27.75" customHeight="1" s="18">
      <c r="B21" s="22" t="inlineStr">
        <is>
          <t>Z_LIMIT_PLUS</t>
        </is>
      </c>
      <c r="C21" s="22" t="inlineStr">
        <is>
          <t>OT+Z</t>
        </is>
      </c>
      <c r="D21" s="22" t="inlineStr">
        <is>
          <t>Axis safety</t>
        </is>
      </c>
      <c r="E21" s="23" t="inlineStr">
        <is>
          <t>Z positive overtravel limit</t>
        </is>
      </c>
      <c r="F21" s="22" t="inlineStr">
        <is>
          <t>NC assumed</t>
        </is>
      </c>
      <c r="G21" s="22" t="inlineStr">
        <is>
          <t>IN</t>
        </is>
      </c>
      <c r="H21" s="22" t="inlineStr">
        <is>
          <t>7i77</t>
        </is>
      </c>
      <c r="I21" s="22" t="inlineStr">
        <is>
          <t>TB5</t>
        </is>
      </c>
      <c r="J21" s="22" t="inlineStr">
        <is>
          <t>IN7</t>
        </is>
      </c>
      <c r="K21" s="22" t="inlineStr">
        <is>
          <t>limit-z-plus</t>
        </is>
      </c>
      <c r="L21" s="23" t="inlineStr">
        <is>
          <t>Existing OT chain</t>
        </is>
      </c>
      <c r="M21" s="23" t="inlineStr">
        <is>
          <t>Verify in cabinet</t>
        </is>
      </c>
      <c r="N21" s="22" t="n"/>
    </row>
    <row r="22" ht="27.75" customHeight="1" s="18">
      <c r="B22" s="22" t="inlineStr">
        <is>
          <t>Z_LIMIT_MINUS</t>
        </is>
      </c>
      <c r="C22" s="22" t="inlineStr">
        <is>
          <t>OT-Z</t>
        </is>
      </c>
      <c r="D22" s="22" t="inlineStr">
        <is>
          <t>Axis safety</t>
        </is>
      </c>
      <c r="E22" s="23" t="inlineStr">
        <is>
          <t>Z negative overtravel limit</t>
        </is>
      </c>
      <c r="F22" s="22" t="inlineStr">
        <is>
          <t>NC assumed</t>
        </is>
      </c>
      <c r="G22" s="22" t="inlineStr">
        <is>
          <t>IN</t>
        </is>
      </c>
      <c r="H22" s="22" t="inlineStr">
        <is>
          <t>7i77</t>
        </is>
      </c>
      <c r="I22" s="22" t="inlineStr">
        <is>
          <t>TB5</t>
        </is>
      </c>
      <c r="J22" s="22" t="inlineStr">
        <is>
          <t>IN8</t>
        </is>
      </c>
      <c r="K22" s="22" t="inlineStr">
        <is>
          <t>limit-z-minus</t>
        </is>
      </c>
      <c r="L22" s="23" t="inlineStr">
        <is>
          <t>Existing OT chain</t>
        </is>
      </c>
      <c r="M22" s="23" t="inlineStr">
        <is>
          <t>Verify in cabinet</t>
        </is>
      </c>
      <c r="N22" s="22" t="n"/>
    </row>
    <row r="23" ht="27.75" customHeight="1" s="18">
      <c r="B23" s="22" t="inlineStr">
        <is>
          <t>X_DRIVE_FAULT</t>
        </is>
      </c>
      <c r="C23" s="22" t="n"/>
      <c r="D23" s="22" t="inlineStr">
        <is>
          <t>Drive safety</t>
        </is>
      </c>
      <c r="E23" s="23" t="inlineStr">
        <is>
          <t>X servo drive alarm/fault</t>
        </is>
      </c>
      <c r="F23" s="23" t="inlineStr">
        <is>
          <t>Active-low assumed</t>
        </is>
      </c>
      <c r="G23" s="22" t="inlineStr">
        <is>
          <t>IN</t>
        </is>
      </c>
      <c r="H23" s="22" t="inlineStr">
        <is>
          <t>7i77</t>
        </is>
      </c>
      <c r="I23" s="22" t="inlineStr">
        <is>
          <t>TB5</t>
        </is>
      </c>
      <c r="J23" s="22" t="inlineStr">
        <is>
          <t>IN9</t>
        </is>
      </c>
      <c r="K23" s="22" t="inlineStr">
        <is>
          <t>x-drive-fault</t>
        </is>
      </c>
      <c r="L23" s="23" t="inlineStr">
        <is>
          <t>X Mitsubishi servo amp</t>
        </is>
      </c>
      <c r="M23" s="23" t="inlineStr">
        <is>
          <t>Verify in cabinet</t>
        </is>
      </c>
      <c r="N23" s="23" t="inlineStr">
        <is>
          <t>Find alarm contact logic at drive terminal.</t>
        </is>
      </c>
    </row>
    <row r="24" ht="27.75" customHeight="1" s="18">
      <c r="B24" s="22" t="inlineStr">
        <is>
          <t>Y_DRIVE_FAULT</t>
        </is>
      </c>
      <c r="C24" s="22" t="n"/>
      <c r="D24" s="22" t="inlineStr">
        <is>
          <t>Drive safety</t>
        </is>
      </c>
      <c r="E24" s="23" t="inlineStr">
        <is>
          <t>Y servo drive alarm/fault</t>
        </is>
      </c>
      <c r="F24" s="23" t="inlineStr">
        <is>
          <t>Active-low assumed</t>
        </is>
      </c>
      <c r="G24" s="22" t="inlineStr">
        <is>
          <t>IN</t>
        </is>
      </c>
      <c r="H24" s="22" t="inlineStr">
        <is>
          <t>7i77</t>
        </is>
      </c>
      <c r="I24" s="22" t="inlineStr">
        <is>
          <t>TB5</t>
        </is>
      </c>
      <c r="J24" s="22" t="inlineStr">
        <is>
          <t>IN10</t>
        </is>
      </c>
      <c r="K24" s="22" t="inlineStr">
        <is>
          <t>y-drive-fault</t>
        </is>
      </c>
      <c r="L24" s="23" t="inlineStr">
        <is>
          <t>Y Mitsubishi servo amp</t>
        </is>
      </c>
      <c r="M24" s="23" t="inlineStr">
        <is>
          <t>Verify in cabinet</t>
        </is>
      </c>
      <c r="N24" s="22" t="n"/>
    </row>
    <row r="25" ht="27.75" customHeight="1" s="18">
      <c r="B25" s="22" t="inlineStr">
        <is>
          <t>Z_DRIVE_FAULT</t>
        </is>
      </c>
      <c r="C25" s="22" t="n"/>
      <c r="D25" s="22" t="inlineStr">
        <is>
          <t>Drive safety</t>
        </is>
      </c>
      <c r="E25" s="23" t="inlineStr">
        <is>
          <t>Z servo drive alarm/fault</t>
        </is>
      </c>
      <c r="F25" s="23" t="inlineStr">
        <is>
          <t>Active-low assumed</t>
        </is>
      </c>
      <c r="G25" s="22" t="inlineStr">
        <is>
          <t>IN</t>
        </is>
      </c>
      <c r="H25" s="22" t="inlineStr">
        <is>
          <t>7i77</t>
        </is>
      </c>
      <c r="I25" s="22" t="inlineStr">
        <is>
          <t>TB5</t>
        </is>
      </c>
      <c r="J25" s="22" t="inlineStr">
        <is>
          <t>IN11</t>
        </is>
      </c>
      <c r="K25" s="22" t="inlineStr">
        <is>
          <t>z-drive-fault</t>
        </is>
      </c>
      <c r="L25" s="23" t="inlineStr">
        <is>
          <t>Z Mitsubishi servo amp</t>
        </is>
      </c>
      <c r="M25" s="23" t="inlineStr">
        <is>
          <t>Verify in cabinet</t>
        </is>
      </c>
      <c r="N25" s="22" t="n"/>
    </row>
    <row r="26" ht="27.75" customHeight="1" s="18">
      <c r="B26" s="22" t="inlineStr">
        <is>
          <t>SPINDLE_FAULT</t>
        </is>
      </c>
      <c r="C26" s="22" t="n"/>
      <c r="D26" s="22" t="inlineStr">
        <is>
          <t>Spindle safety</t>
        </is>
      </c>
      <c r="E26" s="23" t="inlineStr">
        <is>
          <t>FR-SX alarm/fault</t>
        </is>
      </c>
      <c r="F26" s="23" t="inlineStr">
        <is>
          <t>Active-low assumed</t>
        </is>
      </c>
      <c r="G26" s="22" t="inlineStr">
        <is>
          <t>IN</t>
        </is>
      </c>
      <c r="H26" s="22" t="inlineStr">
        <is>
          <t>7i77</t>
        </is>
      </c>
      <c r="I26" s="22" t="inlineStr">
        <is>
          <t>TB5</t>
        </is>
      </c>
      <c r="J26" s="22" t="inlineStr">
        <is>
          <t>IN12</t>
        </is>
      </c>
      <c r="K26" s="22" t="inlineStr">
        <is>
          <t>spindle-fault</t>
        </is>
      </c>
      <c r="L26" s="23" t="inlineStr">
        <is>
          <t>FR-SX spindle controller</t>
        </is>
      </c>
      <c r="M26" s="23" t="inlineStr">
        <is>
          <t>Verify in cabinet</t>
        </is>
      </c>
      <c r="N26" s="22" t="n"/>
    </row>
    <row r="27" ht="27.75" customHeight="1" s="18">
      <c r="B27" s="22" t="inlineStr">
        <is>
          <t>ESTOP_CHAIN</t>
        </is>
      </c>
      <c r="C27" s="22" t="n"/>
      <c r="D27" s="22" t="inlineStr">
        <is>
          <t>Safety</t>
        </is>
      </c>
      <c r="E27" s="23" t="inlineStr">
        <is>
          <t>External estop chain input</t>
        </is>
      </c>
      <c r="F27" s="23" t="inlineStr">
        <is>
          <t>NC, opens on fault</t>
        </is>
      </c>
      <c r="G27" s="22" t="inlineStr">
        <is>
          <t>IN</t>
        </is>
      </c>
      <c r="H27" s="22" t="inlineStr">
        <is>
          <t>7i77</t>
        </is>
      </c>
      <c r="I27" s="22" t="inlineStr">
        <is>
          <t>TB5</t>
        </is>
      </c>
      <c r="J27" s="22" t="inlineStr">
        <is>
          <t>IN13</t>
        </is>
      </c>
      <c r="K27" s="22" t="inlineStr">
        <is>
          <t>estop-ext</t>
        </is>
      </c>
      <c r="L27" s="23" t="inlineStr">
        <is>
          <t>Existing safety chain contact</t>
        </is>
      </c>
      <c r="M27" s="23" t="inlineStr">
        <is>
          <t>Verify in cabinet</t>
        </is>
      </c>
      <c r="N27" s="23" t="inlineStr">
        <is>
          <t>Consider safety relay; do not rely on software alone for safety.</t>
        </is>
      </c>
    </row>
    <row r="28" ht="27.75" customHeight="1" s="18">
      <c r="B28" s="22" t="inlineStr">
        <is>
          <t>DOOR_CLOSED</t>
        </is>
      </c>
      <c r="C28" s="22" t="n"/>
      <c r="D28" s="22" t="inlineStr">
        <is>
          <t>Safety</t>
        </is>
      </c>
      <c r="E28" s="22" t="inlineStr">
        <is>
          <t>Door interlock</t>
        </is>
      </c>
      <c r="F28" s="22" t="inlineStr">
        <is>
          <t>NO assumed</t>
        </is>
      </c>
      <c r="G28" s="22" t="inlineStr">
        <is>
          <t>IN</t>
        </is>
      </c>
      <c r="H28" s="22" t="inlineStr">
        <is>
          <t>7i77</t>
        </is>
      </c>
      <c r="I28" s="22" t="inlineStr">
        <is>
          <t>TB5</t>
        </is>
      </c>
      <c r="J28" s="22" t="inlineStr">
        <is>
          <t>IN14</t>
        </is>
      </c>
      <c r="K28" s="22" t="inlineStr">
        <is>
          <t>door-closed</t>
        </is>
      </c>
      <c r="L28" s="23" t="inlineStr">
        <is>
          <t>Door switch / interlock chain</t>
        </is>
      </c>
      <c r="M28" s="23" t="inlineStr">
        <is>
          <t>Verify in cabinet</t>
        </is>
      </c>
      <c r="N28" s="22" t="n"/>
    </row>
    <row r="29" ht="27.75" customHeight="1" s="18">
      <c r="B29" s="22" t="inlineStr">
        <is>
          <t>LUBE_OK</t>
        </is>
      </c>
      <c r="C29" s="22" t="n"/>
      <c r="D29" s="22" t="inlineStr">
        <is>
          <t>Utility safety</t>
        </is>
      </c>
      <c r="E29" s="23" t="inlineStr">
        <is>
          <t>Central lube pressure/float OK</t>
        </is>
      </c>
      <c r="F29" s="22" t="inlineStr">
        <is>
          <t>NO assumed</t>
        </is>
      </c>
      <c r="G29" s="22" t="inlineStr">
        <is>
          <t>IN</t>
        </is>
      </c>
      <c r="H29" s="22" t="inlineStr">
        <is>
          <t>7i77</t>
        </is>
      </c>
      <c r="I29" s="22" t="inlineStr">
        <is>
          <t>TB5</t>
        </is>
      </c>
      <c r="J29" s="22" t="inlineStr">
        <is>
          <t>IN15</t>
        </is>
      </c>
      <c r="K29" s="22" t="inlineStr">
        <is>
          <t>lube-ok</t>
        </is>
      </c>
      <c r="L29" s="23" t="inlineStr">
        <is>
          <t>Central lubrication unit</t>
        </is>
      </c>
      <c r="M29" s="23" t="inlineStr">
        <is>
          <t>Verify in cabinet</t>
        </is>
      </c>
      <c r="N29" s="22" t="n"/>
    </row>
    <row r="30" ht="27.75" customHeight="1" s="18">
      <c r="B30" s="22" t="inlineStr">
        <is>
          <t>HYD_PRESS_OK</t>
        </is>
      </c>
      <c r="C30" s="22" t="n"/>
      <c r="D30" s="23" t="inlineStr">
        <is>
          <t>Hydraulic safety</t>
        </is>
      </c>
      <c r="E30" s="23" t="inlineStr">
        <is>
          <t>Hydraulic pressure OK</t>
        </is>
      </c>
      <c r="F30" s="22" t="inlineStr">
        <is>
          <t>NO assumed</t>
        </is>
      </c>
      <c r="G30" s="22" t="inlineStr">
        <is>
          <t>IN</t>
        </is>
      </c>
      <c r="H30" s="22" t="inlineStr">
        <is>
          <t>7i77</t>
        </is>
      </c>
      <c r="I30" s="22" t="inlineStr">
        <is>
          <t>TB5</t>
        </is>
      </c>
      <c r="J30" s="22" t="inlineStr">
        <is>
          <t>IN16</t>
        </is>
      </c>
      <c r="K30" s="22" t="inlineStr">
        <is>
          <t>hydraulic-ok</t>
        </is>
      </c>
      <c r="L30" s="23" t="inlineStr">
        <is>
          <t>Hydraulic pressure switch</t>
        </is>
      </c>
      <c r="M30" s="23" t="inlineStr">
        <is>
          <t>Verify in cabinet</t>
        </is>
      </c>
      <c r="N30" s="22" t="n"/>
    </row>
    <row r="31" ht="27.75" customHeight="1" s="18">
      <c r="B31" s="22" t="inlineStr">
        <is>
          <t>CYCLE_START_PB</t>
        </is>
      </c>
      <c r="C31" s="22" t="n"/>
      <c r="D31" s="22" t="inlineStr">
        <is>
          <t>Panel</t>
        </is>
      </c>
      <c r="E31" s="23" t="inlineStr">
        <is>
          <t>Cycle start pushbutton</t>
        </is>
      </c>
      <c r="F31" s="22" t="inlineStr">
        <is>
          <t>NO momentary</t>
        </is>
      </c>
      <c r="G31" s="22" t="inlineStr">
        <is>
          <t>IN</t>
        </is>
      </c>
      <c r="H31" s="22" t="inlineStr">
        <is>
          <t>7i77</t>
        </is>
      </c>
      <c r="I31" s="22" t="inlineStr">
        <is>
          <t>TB5</t>
        </is>
      </c>
      <c r="J31" s="22" t="inlineStr">
        <is>
          <t>IN17</t>
        </is>
      </c>
      <c r="K31" s="22" t="inlineStr">
        <is>
          <t>cycle-start-pb</t>
        </is>
      </c>
      <c r="L31" s="22" t="inlineStr">
        <is>
          <t>Operator panel</t>
        </is>
      </c>
      <c r="M31" s="22" t="inlineStr">
        <is>
          <t>Optional</t>
        </is>
      </c>
      <c r="N31" s="23" t="inlineStr">
        <is>
          <t>Can also use LinuxCNC UI/pendant.</t>
        </is>
      </c>
    </row>
    <row r="32" ht="27.75" customHeight="1" s="18">
      <c r="B32" s="22" t="inlineStr">
        <is>
          <t>FEED_HOLD_PB</t>
        </is>
      </c>
      <c r="C32" s="22" t="n"/>
      <c r="D32" s="22" t="inlineStr">
        <is>
          <t>Panel</t>
        </is>
      </c>
      <c r="E32" s="23" t="inlineStr">
        <is>
          <t>Feed hold pushbutton</t>
        </is>
      </c>
      <c r="F32" s="22" t="inlineStr">
        <is>
          <t>NO momentary</t>
        </is>
      </c>
      <c r="G32" s="22" t="inlineStr">
        <is>
          <t>IN</t>
        </is>
      </c>
      <c r="H32" s="22" t="inlineStr">
        <is>
          <t>7i77</t>
        </is>
      </c>
      <c r="I32" s="22" t="inlineStr">
        <is>
          <t>TB5</t>
        </is>
      </c>
      <c r="J32" s="22" t="inlineStr">
        <is>
          <t>IN18</t>
        </is>
      </c>
      <c r="K32" s="22" t="inlineStr">
        <is>
          <t>feed-hold-pb</t>
        </is>
      </c>
      <c r="L32" s="22" t="inlineStr">
        <is>
          <t>Operator panel</t>
        </is>
      </c>
      <c r="M32" s="22" t="inlineStr">
        <is>
          <t>Optional</t>
        </is>
      </c>
      <c r="N32" s="22" t="n"/>
    </row>
    <row r="33" ht="27.75" customHeight="1" s="18">
      <c r="B33" s="23" t="inlineStr">
        <is>
          <t>SINGLE_BLOCK_SW</t>
        </is>
      </c>
      <c r="C33" s="22" t="n"/>
      <c r="D33" s="22" t="inlineStr">
        <is>
          <t>Panel</t>
        </is>
      </c>
      <c r="E33" s="23" t="inlineStr">
        <is>
          <t>Single block switch</t>
        </is>
      </c>
      <c r="F33" s="22" t="inlineStr">
        <is>
          <t>NO assumed</t>
        </is>
      </c>
      <c r="G33" s="22" t="inlineStr">
        <is>
          <t>IN</t>
        </is>
      </c>
      <c r="H33" s="22" t="inlineStr">
        <is>
          <t>7i77</t>
        </is>
      </c>
      <c r="I33" s="22" t="inlineStr">
        <is>
          <t>TB5</t>
        </is>
      </c>
      <c r="J33" s="22" t="inlineStr">
        <is>
          <t>IN19</t>
        </is>
      </c>
      <c r="K33" s="22" t="inlineStr">
        <is>
          <t>single-block</t>
        </is>
      </c>
      <c r="L33" s="22" t="inlineStr">
        <is>
          <t>Operator panel</t>
        </is>
      </c>
      <c r="M33" s="22" t="inlineStr">
        <is>
          <t>Optional</t>
        </is>
      </c>
      <c r="N33" s="22" t="n"/>
    </row>
    <row r="34" ht="27.75" customHeight="1" s="18">
      <c r="B34" s="23" t="inlineStr">
        <is>
          <t>SPINDLE_ZERO_SPEED</t>
        </is>
      </c>
      <c r="C34" s="22" t="n"/>
      <c r="D34" s="22" t="inlineStr">
        <is>
          <t>Spindle safety</t>
        </is>
      </c>
      <c r="E34" s="23" t="inlineStr">
        <is>
          <t>Spindle zero speed / at speed feedback</t>
        </is>
      </c>
      <c r="F34" s="22" t="inlineStr">
        <is>
          <t>TBD</t>
        </is>
      </c>
      <c r="G34" s="22" t="inlineStr">
        <is>
          <t>IN</t>
        </is>
      </c>
      <c r="H34" s="22" t="inlineStr">
        <is>
          <t>7i77</t>
        </is>
      </c>
      <c r="I34" s="22" t="inlineStr">
        <is>
          <t>TB5</t>
        </is>
      </c>
      <c r="J34" s="22" t="inlineStr">
        <is>
          <t>Spare IN</t>
        </is>
      </c>
      <c r="K34" s="23" t="inlineStr">
        <is>
          <t>spindle-zero-speed</t>
        </is>
      </c>
      <c r="L34" s="23" t="inlineStr">
        <is>
          <t>FR-SX or spindle pickup logic</t>
        </is>
      </c>
      <c r="M34" s="23" t="inlineStr">
        <is>
          <t>Verify in cabinet</t>
        </is>
      </c>
      <c r="N34" s="23" t="inlineStr">
        <is>
          <t>Required for safe gear shift/toolchange if available.</t>
        </is>
      </c>
    </row>
    <row r="35" ht="27.75" customHeight="1" s="18">
      <c r="B35" s="22" t="inlineStr">
        <is>
          <t>SERVO_READY</t>
        </is>
      </c>
      <c r="C35" s="22" t="n"/>
      <c r="D35" s="22" t="inlineStr">
        <is>
          <t>Drive safety</t>
        </is>
      </c>
      <c r="E35" s="23" t="inlineStr">
        <is>
          <t>Servo ready feedback</t>
        </is>
      </c>
      <c r="F35" s="22" t="inlineStr">
        <is>
          <t>TBD</t>
        </is>
      </c>
      <c r="G35" s="22" t="inlineStr">
        <is>
          <t>IN</t>
        </is>
      </c>
      <c r="H35" s="22" t="inlineStr">
        <is>
          <t>7i77</t>
        </is>
      </c>
      <c r="I35" s="22" t="inlineStr">
        <is>
          <t>TB5</t>
        </is>
      </c>
      <c r="J35" s="22" t="inlineStr">
        <is>
          <t>Spare IN</t>
        </is>
      </c>
      <c r="K35" s="22" t="inlineStr">
        <is>
          <t>servo-ready</t>
        </is>
      </c>
      <c r="L35" s="23" t="inlineStr">
        <is>
          <t>Servo drives / ready relay</t>
        </is>
      </c>
      <c r="M35" s="23" t="inlineStr">
        <is>
          <t>Verify in cabinet</t>
        </is>
      </c>
      <c r="N35" s="23" t="inlineStr">
        <is>
          <t>Useful before enabling motion.</t>
        </is>
      </c>
    </row>
    <row r="36" ht="27.75" customHeight="1" s="18">
      <c r="B36" s="23" t="inlineStr">
        <is>
          <t>CABINET_TEMP_FAN_OK</t>
        </is>
      </c>
      <c r="C36" s="22" t="n"/>
      <c r="D36" s="22" t="inlineStr">
        <is>
          <t>Cabinet</t>
        </is>
      </c>
      <c r="E36" s="23" t="inlineStr">
        <is>
          <t>Overtemp or fan fail input</t>
        </is>
      </c>
      <c r="F36" s="22" t="inlineStr">
        <is>
          <t>TBD</t>
        </is>
      </c>
      <c r="G36" s="22" t="inlineStr">
        <is>
          <t>IN</t>
        </is>
      </c>
      <c r="H36" s="22" t="inlineStr">
        <is>
          <t>7i77</t>
        </is>
      </c>
      <c r="I36" s="22" t="inlineStr">
        <is>
          <t>TB5</t>
        </is>
      </c>
      <c r="J36" s="22" t="inlineStr">
        <is>
          <t>Spare IN</t>
        </is>
      </c>
      <c r="K36" s="22" t="inlineStr">
        <is>
          <t>cabinet-ok</t>
        </is>
      </c>
      <c r="L36" s="23" t="inlineStr">
        <is>
          <t>Cabinet sensor if present</t>
        </is>
      </c>
      <c r="M36" s="22" t="inlineStr">
        <is>
          <t>Optional</t>
        </is>
      </c>
      <c r="N36" s="22" t="n"/>
    </row>
    <row r="37" ht="27.75" customHeight="1" s="18">
      <c r="B37" s="22" t="inlineStr">
        <is>
          <t>RAPID_OVERRIDE</t>
        </is>
      </c>
      <c r="C37" s="22" t="n"/>
      <c r="D37" s="22" t="inlineStr">
        <is>
          <t>Panel</t>
        </is>
      </c>
      <c r="E37" s="23" t="inlineStr">
        <is>
          <t>Rapid override discrete contacts</t>
        </is>
      </c>
      <c r="F37" s="22" t="inlineStr">
        <is>
          <t>TBD</t>
        </is>
      </c>
      <c r="G37" s="22" t="inlineStr">
        <is>
          <t>IN</t>
        </is>
      </c>
      <c r="H37" s="22" t="inlineStr">
        <is>
          <t>7i77</t>
        </is>
      </c>
      <c r="I37" s="22" t="inlineStr">
        <is>
          <t>TB5</t>
        </is>
      </c>
      <c r="J37" s="22" t="inlineStr">
        <is>
          <t>Spare IN</t>
        </is>
      </c>
      <c r="K37" s="22" t="inlineStr">
        <is>
          <t>rapid-override</t>
        </is>
      </c>
      <c r="L37" s="22" t="inlineStr">
        <is>
          <t>Operator panel</t>
        </is>
      </c>
      <c r="M37" s="22" t="inlineStr">
        <is>
          <t>Optional</t>
        </is>
      </c>
      <c r="N37" s="23" t="inlineStr">
        <is>
          <t>If analog/pot, handle differently.</t>
        </is>
      </c>
    </row>
    <row r="38" ht="27.75" customHeight="1" s="18">
      <c r="B38" s="22" t="inlineStr">
        <is>
          <t>X_DRIVE_ENABLE</t>
        </is>
      </c>
      <c r="C38" s="22" t="n"/>
      <c r="D38" s="22" t="inlineStr">
        <is>
          <t>Drive control</t>
        </is>
      </c>
      <c r="E38" s="23" t="inlineStr">
        <is>
          <t>Enable X servo amp</t>
        </is>
      </c>
      <c r="F38" s="23" t="inlineStr">
        <is>
          <t>Active-high assumed</t>
        </is>
      </c>
      <c r="G38" s="22" t="inlineStr">
        <is>
          <t>OUT</t>
        </is>
      </c>
      <c r="H38" s="22" t="inlineStr">
        <is>
          <t>7i77</t>
        </is>
      </c>
      <c r="I38" s="22" t="inlineStr">
        <is>
          <t>TB6</t>
        </is>
      </c>
      <c r="J38" s="22" t="inlineStr">
        <is>
          <t>OUT0</t>
        </is>
      </c>
      <c r="K38" s="22" t="inlineStr">
        <is>
          <t>x-enable</t>
        </is>
      </c>
      <c r="L38" s="23" t="inlineStr">
        <is>
          <t>X servo amp enable terminal</t>
        </is>
      </c>
      <c r="M38" s="23" t="inlineStr">
        <is>
          <t>Verify in cabinet</t>
        </is>
      </c>
      <c r="N38" s="23" t="inlineStr">
        <is>
          <t>Interlock through estop/ready.</t>
        </is>
      </c>
    </row>
    <row r="39" ht="27.75" customHeight="1" s="18">
      <c r="B39" s="22" t="inlineStr">
        <is>
          <t>Y_DRIVE_ENABLE</t>
        </is>
      </c>
      <c r="C39" s="22" t="n"/>
      <c r="D39" s="22" t="inlineStr">
        <is>
          <t>Drive control</t>
        </is>
      </c>
      <c r="E39" s="23" t="inlineStr">
        <is>
          <t>Enable Y servo amp</t>
        </is>
      </c>
      <c r="F39" s="23" t="inlineStr">
        <is>
          <t>Active-high assumed</t>
        </is>
      </c>
      <c r="G39" s="22" t="inlineStr">
        <is>
          <t>OUT</t>
        </is>
      </c>
      <c r="H39" s="22" t="inlineStr">
        <is>
          <t>7i77</t>
        </is>
      </c>
      <c r="I39" s="22" t="inlineStr">
        <is>
          <t>TB6</t>
        </is>
      </c>
      <c r="J39" s="22" t="inlineStr">
        <is>
          <t>OUT1</t>
        </is>
      </c>
      <c r="K39" s="22" t="inlineStr">
        <is>
          <t>y-enable</t>
        </is>
      </c>
      <c r="L39" s="23" t="inlineStr">
        <is>
          <t>Y servo amp enable terminal</t>
        </is>
      </c>
      <c r="M39" s="23" t="inlineStr">
        <is>
          <t>Verify in cabinet</t>
        </is>
      </c>
      <c r="N39" s="22" t="n"/>
    </row>
    <row r="40" ht="27.75" customHeight="1" s="18">
      <c r="B40" s="22" t="inlineStr">
        <is>
          <t>Z_DRIVE_ENABLE</t>
        </is>
      </c>
      <c r="C40" s="22" t="n"/>
      <c r="D40" s="22" t="inlineStr">
        <is>
          <t>Drive control</t>
        </is>
      </c>
      <c r="E40" s="23" t="inlineStr">
        <is>
          <t>Enable Z servo amp</t>
        </is>
      </c>
      <c r="F40" s="23" t="inlineStr">
        <is>
          <t>Active-high assumed</t>
        </is>
      </c>
      <c r="G40" s="22" t="inlineStr">
        <is>
          <t>OUT</t>
        </is>
      </c>
      <c r="H40" s="22" t="inlineStr">
        <is>
          <t>7i77</t>
        </is>
      </c>
      <c r="I40" s="22" t="inlineStr">
        <is>
          <t>TB6</t>
        </is>
      </c>
      <c r="J40" s="22" t="inlineStr">
        <is>
          <t>OUT2</t>
        </is>
      </c>
      <c r="K40" s="22" t="inlineStr">
        <is>
          <t>z-enable</t>
        </is>
      </c>
      <c r="L40" s="23" t="inlineStr">
        <is>
          <t>Z servo amp enable terminal</t>
        </is>
      </c>
      <c r="M40" s="23" t="inlineStr">
        <is>
          <t>Verify in cabinet</t>
        </is>
      </c>
      <c r="N40" s="22" t="n"/>
    </row>
    <row r="41" ht="27.75" customHeight="1" s="18">
      <c r="B41" s="22" t="inlineStr">
        <is>
          <t>SPINDLE_ENABLE</t>
        </is>
      </c>
      <c r="C41" s="22" t="n"/>
      <c r="D41" s="23" t="inlineStr">
        <is>
          <t>Spindle control</t>
        </is>
      </c>
      <c r="E41" s="23" t="inlineStr">
        <is>
          <t>FR-SX enable/run permission</t>
        </is>
      </c>
      <c r="F41" s="23" t="inlineStr">
        <is>
          <t>Active-high assumed</t>
        </is>
      </c>
      <c r="G41" s="22" t="inlineStr">
        <is>
          <t>OUT</t>
        </is>
      </c>
      <c r="H41" s="22" t="inlineStr">
        <is>
          <t>7i77</t>
        </is>
      </c>
      <c r="I41" s="22" t="inlineStr">
        <is>
          <t>TB6</t>
        </is>
      </c>
      <c r="J41" s="22" t="inlineStr">
        <is>
          <t>OUT3</t>
        </is>
      </c>
      <c r="K41" s="22" t="inlineStr">
        <is>
          <t>spindle-enable</t>
        </is>
      </c>
      <c r="L41" s="22" t="inlineStr">
        <is>
          <t>FR-SX terminal</t>
        </is>
      </c>
      <c r="M41" s="23" t="inlineStr">
        <is>
          <t>Verify in cabinet</t>
        </is>
      </c>
      <c r="N41" s="22" t="n"/>
    </row>
    <row r="42" ht="27.75" customHeight="1" s="18">
      <c r="B42" s="22" t="inlineStr">
        <is>
          <t>SPINDLE_DIR</t>
        </is>
      </c>
      <c r="C42" s="22" t="n"/>
      <c r="D42" s="23" t="inlineStr">
        <is>
          <t>Spindle control</t>
        </is>
      </c>
      <c r="E42" s="23" t="inlineStr">
        <is>
          <t>Spindle direction select</t>
        </is>
      </c>
      <c r="F42" s="23" t="inlineStr">
        <is>
          <t>High=FWD assumed</t>
        </is>
      </c>
      <c r="G42" s="22" t="inlineStr">
        <is>
          <t>OUT</t>
        </is>
      </c>
      <c r="H42" s="22" t="inlineStr">
        <is>
          <t>7i77</t>
        </is>
      </c>
      <c r="I42" s="22" t="inlineStr">
        <is>
          <t>TB6</t>
        </is>
      </c>
      <c r="J42" s="22" t="inlineStr">
        <is>
          <t>OUT4</t>
        </is>
      </c>
      <c r="K42" s="22" t="inlineStr">
        <is>
          <t>spindle-dir</t>
        </is>
      </c>
      <c r="L42" s="23" t="inlineStr">
        <is>
          <t>FR-SX FWD/REV terminals</t>
        </is>
      </c>
      <c r="M42" s="23" t="inlineStr">
        <is>
          <t>Verify in cabinet</t>
        </is>
      </c>
      <c r="N42" s="23" t="inlineStr">
        <is>
          <t>May need separate FWD and REV outputs.</t>
        </is>
      </c>
    </row>
    <row r="43" ht="27.75" customHeight="1" s="18">
      <c r="B43" s="23" t="inlineStr">
        <is>
          <t>SERVO_ON_CONTACTOR</t>
        </is>
      </c>
      <c r="C43" s="22" t="n"/>
      <c r="D43" s="22" t="inlineStr">
        <is>
          <t>Safety/control</t>
        </is>
      </c>
      <c r="E43" s="23" t="inlineStr">
        <is>
          <t>Main servo power contactor coil</t>
        </is>
      </c>
      <c r="F43" s="23" t="inlineStr">
        <is>
          <t>Active-high assumed</t>
        </is>
      </c>
      <c r="G43" s="22" t="inlineStr">
        <is>
          <t>OUT</t>
        </is>
      </c>
      <c r="H43" s="22" t="inlineStr">
        <is>
          <t>7i77</t>
        </is>
      </c>
      <c r="I43" s="22" t="inlineStr">
        <is>
          <t>TB6</t>
        </is>
      </c>
      <c r="J43" s="22" t="inlineStr">
        <is>
          <t>OUT5</t>
        </is>
      </c>
      <c r="K43" s="22" t="inlineStr">
        <is>
          <t>main-servo-on</t>
        </is>
      </c>
      <c r="L43" s="23" t="inlineStr">
        <is>
          <t>Original servo-on/contact chain</t>
        </is>
      </c>
      <c r="M43" s="23" t="inlineStr">
        <is>
          <t>Verify in cabinet</t>
        </is>
      </c>
      <c r="N43" s="23" t="inlineStr">
        <is>
          <t>Only if LinuxCNC will control contactor.</t>
        </is>
      </c>
    </row>
    <row r="44" ht="27.75" customHeight="1" s="18">
      <c r="B44" s="22" t="inlineStr">
        <is>
          <t>READY_LAMP</t>
        </is>
      </c>
      <c r="C44" s="22" t="n"/>
      <c r="D44" s="22" t="inlineStr">
        <is>
          <t>Panel</t>
        </is>
      </c>
      <c r="E44" s="23" t="inlineStr">
        <is>
          <t>READY indicator lamp</t>
        </is>
      </c>
      <c r="F44" s="23" t="inlineStr">
        <is>
          <t>Active-high assumed</t>
        </is>
      </c>
      <c r="G44" s="22" t="inlineStr">
        <is>
          <t>OUT</t>
        </is>
      </c>
      <c r="H44" s="22" t="inlineStr">
        <is>
          <t>7i77</t>
        </is>
      </c>
      <c r="I44" s="22" t="inlineStr">
        <is>
          <t>TB6</t>
        </is>
      </c>
      <c r="J44" s="22" t="inlineStr">
        <is>
          <t>OUT6</t>
        </is>
      </c>
      <c r="K44" s="22" t="inlineStr">
        <is>
          <t>lamp-ready</t>
        </is>
      </c>
      <c r="L44" s="23" t="inlineStr">
        <is>
          <t>Operator panel lamp</t>
        </is>
      </c>
      <c r="M44" s="22" t="inlineStr">
        <is>
          <t>Optional</t>
        </is>
      </c>
      <c r="N44" s="22" t="n"/>
    </row>
    <row r="45" ht="27.75" customHeight="1" s="18">
      <c r="B45" s="22" t="inlineStr">
        <is>
          <t>ALARM_LAMP</t>
        </is>
      </c>
      <c r="C45" s="22" t="n"/>
      <c r="D45" s="22" t="inlineStr">
        <is>
          <t>Panel</t>
        </is>
      </c>
      <c r="E45" s="23" t="inlineStr">
        <is>
          <t>MACHINE FAILURE / alarm lamp</t>
        </is>
      </c>
      <c r="F45" s="23" t="inlineStr">
        <is>
          <t>Active-high assumed</t>
        </is>
      </c>
      <c r="G45" s="22" t="inlineStr">
        <is>
          <t>OUT</t>
        </is>
      </c>
      <c r="H45" s="22" t="inlineStr">
        <is>
          <t>7i77</t>
        </is>
      </c>
      <c r="I45" s="22" t="inlineStr">
        <is>
          <t>TB6</t>
        </is>
      </c>
      <c r="J45" s="22" t="inlineStr">
        <is>
          <t>OUT7</t>
        </is>
      </c>
      <c r="K45" s="22" t="inlineStr">
        <is>
          <t>lamp-alarm</t>
        </is>
      </c>
      <c r="L45" s="23" t="inlineStr">
        <is>
          <t>Operator panel lamp</t>
        </is>
      </c>
      <c r="M45" s="22" t="inlineStr">
        <is>
          <t>Optional</t>
        </is>
      </c>
      <c r="N45" s="22" t="n"/>
    </row>
    <row r="46" ht="27.75" customHeight="1" s="18">
      <c r="B46" s="23" t="inlineStr">
        <is>
          <t>SPINDLE_ORIENT_CMD</t>
        </is>
      </c>
      <c r="C46" s="22" t="n"/>
      <c r="D46" s="22" t="inlineStr">
        <is>
          <t>Spindle / ATC</t>
        </is>
      </c>
      <c r="E46" s="23" t="inlineStr">
        <is>
          <t>Spindle orient command</t>
        </is>
      </c>
      <c r="F46" s="22" t="inlineStr">
        <is>
          <t>TBD</t>
        </is>
      </c>
      <c r="G46" s="22" t="inlineStr">
        <is>
          <t>OUT</t>
        </is>
      </c>
      <c r="H46" s="22" t="inlineStr">
        <is>
          <t>7i77</t>
        </is>
      </c>
      <c r="I46" s="22" t="inlineStr">
        <is>
          <t>TB6</t>
        </is>
      </c>
      <c r="J46" s="22" t="inlineStr">
        <is>
          <t>Spare OUT</t>
        </is>
      </c>
      <c r="K46" s="23" t="inlineStr">
        <is>
          <t>spindle-orient-cmd</t>
        </is>
      </c>
      <c r="L46" s="23" t="inlineStr">
        <is>
          <t>FR-SX orient input or hydraulic orient circuit</t>
        </is>
      </c>
      <c r="M46" s="23" t="inlineStr">
        <is>
          <t>Verify in cabinet</t>
        </is>
      </c>
      <c r="N46" s="23" t="inlineStr">
        <is>
          <t>Needed for ATC depending on original design.</t>
        </is>
      </c>
    </row>
    <row r="47" ht="27.75" customHeight="1" s="18">
      <c r="B47" s="23" t="inlineStr">
        <is>
          <t>CONTROL_READY_CHAIN</t>
        </is>
      </c>
      <c r="C47" s="22" t="n"/>
      <c r="D47" s="22" t="inlineStr">
        <is>
          <t>Safety/control</t>
        </is>
      </c>
      <c r="E47" s="23" t="inlineStr">
        <is>
          <t>Control ready output into original Mazak ready chain</t>
        </is>
      </c>
      <c r="F47" s="22" t="inlineStr">
        <is>
          <t>TBD</t>
        </is>
      </c>
      <c r="G47" s="22" t="inlineStr">
        <is>
          <t>OUT</t>
        </is>
      </c>
      <c r="H47" s="22" t="inlineStr">
        <is>
          <t>7i77</t>
        </is>
      </c>
      <c r="I47" s="22" t="inlineStr">
        <is>
          <t>TB6</t>
        </is>
      </c>
      <c r="J47" s="22" t="inlineStr">
        <is>
          <t>Spare OUT</t>
        </is>
      </c>
      <c r="K47" s="22" t="inlineStr">
        <is>
          <t>control-ready</t>
        </is>
      </c>
      <c r="L47" s="23" t="inlineStr">
        <is>
          <t>Original ready relay chain</t>
        </is>
      </c>
      <c r="M47" s="23" t="inlineStr">
        <is>
          <t>Verify in cabinet</t>
        </is>
      </c>
      <c r="N47" s="22" t="n"/>
    </row>
    <row r="48" ht="27.75" customHeight="1" s="18">
      <c r="B48" s="23" t="inlineStr">
        <is>
          <t>HYD_PUMP_CONTACTOR</t>
        </is>
      </c>
      <c r="C48" s="22" t="n"/>
      <c r="D48" s="22" t="inlineStr">
        <is>
          <t>Hydraulic</t>
        </is>
      </c>
      <c r="E48" s="23" t="inlineStr">
        <is>
          <t>Main hydraulic pump contactor</t>
        </is>
      </c>
      <c r="F48" s="22" t="inlineStr">
        <is>
          <t>TBD</t>
        </is>
      </c>
      <c r="G48" s="22" t="inlineStr">
        <is>
          <t>OUT</t>
        </is>
      </c>
      <c r="H48" s="22" t="inlineStr">
        <is>
          <t>7i77</t>
        </is>
      </c>
      <c r="I48" s="22" t="inlineStr">
        <is>
          <t>TB6</t>
        </is>
      </c>
      <c r="J48" s="22" t="inlineStr">
        <is>
          <t>Spare OUT</t>
        </is>
      </c>
      <c r="K48" s="22" t="inlineStr">
        <is>
          <t>hyd-pump-on</t>
        </is>
      </c>
      <c r="L48" s="23" t="inlineStr">
        <is>
          <t>Hydraulic pump contactor coil</t>
        </is>
      </c>
      <c r="M48" s="22" t="inlineStr">
        <is>
          <t>Optional</t>
        </is>
      </c>
      <c r="N48" s="23" t="inlineStr">
        <is>
          <t>Could stay hardwired/legacy.</t>
        </is>
      </c>
    </row>
    <row r="49" ht="27.75" customHeight="1" s="18">
      <c r="B49" s="22" t="inlineStr">
        <is>
          <t>LUBE_PUMP</t>
        </is>
      </c>
      <c r="C49" s="22" t="n"/>
      <c r="D49" s="22" t="inlineStr">
        <is>
          <t>Utility</t>
        </is>
      </c>
      <c r="E49" s="23" t="inlineStr">
        <is>
          <t>Main lube pump if switched</t>
        </is>
      </c>
      <c r="F49" s="22" t="inlineStr">
        <is>
          <t>TBD</t>
        </is>
      </c>
      <c r="G49" s="22" t="inlineStr">
        <is>
          <t>OUT</t>
        </is>
      </c>
      <c r="H49" s="22" t="inlineStr">
        <is>
          <t>7i77</t>
        </is>
      </c>
      <c r="I49" s="22" t="inlineStr">
        <is>
          <t>TB6</t>
        </is>
      </c>
      <c r="J49" s="22" t="inlineStr">
        <is>
          <t>Spare OUT</t>
        </is>
      </c>
      <c r="K49" s="22" t="inlineStr">
        <is>
          <t>lube-pump-on</t>
        </is>
      </c>
      <c r="L49" s="23" t="inlineStr">
        <is>
          <t>Lube pump circuit</t>
        </is>
      </c>
      <c r="M49" s="22" t="inlineStr">
        <is>
          <t>Optional</t>
        </is>
      </c>
      <c r="N49" s="23" t="inlineStr">
        <is>
          <t>Only if not continuous/autonomous.</t>
        </is>
      </c>
    </row>
  </sheetData>
  <autoFilter ref="B5:N49"/>
  <mergeCells count="1">
    <mergeCell ref="B2:N2"/>
  </mergeCells>
  <conditionalFormatting sqref="B6:Z49">
    <cfRule type="expression" rank="0" priority="2" equalAverage="0" aboveAverage="0" dxfId="7" text="" percent="0" bottom="0">
      <formula>$M6="Confirmed from notes"</formula>
    </cfRule>
    <cfRule type="expression" rank="0" priority="3" equalAverage="0" aboveAverage="0" dxfId="8" text="" percent="0" bottom="0">
      <formula>$M6="Inferred / likely"</formula>
    </cfRule>
    <cfRule type="expression" rank="0" priority="4" equalAverage="0" aboveAverage="0" dxfId="8" text="" percent="0" bottom="0">
      <formula>$M6="Verify in cabinet"</formula>
    </cfRule>
    <cfRule type="expression" rank="0" priority="5" equalAverage="0" aboveAverage="0" dxfId="8" text="" percent="0" bottom="0">
      <formula>$M6="Measure before buying"</formula>
    </cfRule>
    <cfRule type="expression" rank="0" priority="6" equalAverage="0" aboveAverage="0" dxfId="9" text="" percent="0" bottom="0">
      <formula>$M6="Optional"</formula>
    </cfRule>
  </conditionalFormatting>
  <dataValidations count="3">
    <dataValidation sqref="G6:G49" showDropDown="0" showInputMessage="0" showErrorMessage="0" allowBlank="1" type="list" errorStyle="stop" operator="between">
      <formula1>"IN,OUT,ANALOG OUT,ENCODER IN,POWER,LOGIC,MECHANICAL,USB,TBD"</formula1>
      <formula2>0</formula2>
    </dataValidation>
    <dataValidation sqref="H6:H49" showDropDown="0" showInputMessage="0" showErrorMessage="0" allowBlank="1" type="list" errorStyle="stop" operator="between">
      <formula1>"6i25,7i77,7i84,7i85/7i85S,LinuxCNC USB,Existing Mazak,HR-11F-24,DIN rail / panel,TBD"</formula1>
      <formula2>0</formula2>
    </dataValidation>
    <dataValidation sqref="M6:M49" showDropDown="0" showInputMessage="0" showErrorMessage="0" allowBlank="1" type="list" errorStyle="stop" operator="between">
      <formula1>"Confirmed from notes,Inferred / likely,Verify in cabinet,Measure before buying,Optional,TBD"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B2:N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17" min="1" max="1"/>
    <col width="40" customWidth="1" style="17" min="2" max="2"/>
    <col width="25.51" customWidth="1" style="17" min="3" max="3"/>
    <col width="15.6" customWidth="1" style="17" min="4" max="4"/>
    <col width="33.6" customWidth="1" style="17" min="5" max="5"/>
    <col width="20.1" customWidth="1" style="17" min="6" max="6"/>
    <col width="11.1" customWidth="1" style="17" min="7" max="9"/>
    <col width="19.2" customWidth="1" style="17" min="10" max="10"/>
    <col width="21" customWidth="1" style="17" min="11" max="11"/>
    <col width="30" customWidth="1" style="17" min="12" max="12"/>
    <col width="21" customWidth="1" style="17" min="13" max="13"/>
    <col width="40" customWidth="1" style="17" min="14" max="14"/>
  </cols>
  <sheetData>
    <row r="1" ht="27.75" customHeight="1" s="18"/>
    <row r="2" ht="27.75" customHeight="1" s="18">
      <c r="B2" s="19" t="inlineStr">
        <is>
          <t>7i84 ATC, Hydraulic, Coolant, and Utility I/O</t>
        </is>
      </c>
    </row>
    <row r="3" ht="27.75" customHeight="1" s="18">
      <c r="B3" s="20" t="inlineStr">
        <is>
          <t>Bulk field I/O intended for a 7i84 mounted near the existing green breakout PCB. Verify coil current before landing outputs directly.</t>
        </is>
      </c>
    </row>
    <row r="4" ht="27.75" customHeight="1" s="18"/>
    <row r="5" ht="27.75" customHeight="1" s="18">
      <c r="B5" s="21" t="inlineStr">
        <is>
          <t>Machine Signal Name</t>
        </is>
      </c>
      <c r="C5" s="21" t="inlineStr">
        <is>
          <t>Mazak Label / Drawing Ref</t>
        </is>
      </c>
      <c r="D5" s="21" t="inlineStr">
        <is>
          <t>Subsystem</t>
        </is>
      </c>
      <c r="E5" s="21" t="inlineStr">
        <is>
          <t>Function</t>
        </is>
      </c>
      <c r="F5" s="21" t="inlineStr">
        <is>
          <t>Normal State / Type</t>
        </is>
      </c>
      <c r="G5" s="21" t="inlineStr">
        <is>
          <t>Direction</t>
        </is>
      </c>
      <c r="H5" s="21" t="inlineStr">
        <is>
          <t>Mesa Card</t>
        </is>
      </c>
      <c r="I5" s="21" t="inlineStr">
        <is>
          <t>Mesa Conn</t>
        </is>
      </c>
      <c r="J5" s="21" t="inlineStr">
        <is>
          <t>Mesa Bit / Channel</t>
        </is>
      </c>
      <c r="K5" s="21" t="inlineStr">
        <is>
          <t>LinuxCNC HAL Net</t>
        </is>
      </c>
      <c r="L5" s="21" t="inlineStr">
        <is>
          <t>Cabinet Landing / Origin</t>
        </is>
      </c>
      <c r="M5" s="21" t="inlineStr">
        <is>
          <t>Status</t>
        </is>
      </c>
      <c r="N5" s="21" t="inlineStr">
        <is>
          <t>Notes</t>
        </is>
      </c>
    </row>
    <row r="6" ht="27.75" customHeight="1" s="18">
      <c r="B6" s="22" t="inlineStr">
        <is>
          <t>TOOL_CLAMPED</t>
        </is>
      </c>
      <c r="C6" s="22" t="inlineStr">
        <is>
          <t>PRS-9</t>
        </is>
      </c>
      <c r="D6" s="22" t="inlineStr">
        <is>
          <t>ATC/tool clamp</t>
        </is>
      </c>
      <c r="E6" s="23" t="inlineStr">
        <is>
          <t>Tool clamped sensor</t>
        </is>
      </c>
      <c r="F6" s="22" t="inlineStr">
        <is>
          <t>NO assumed</t>
        </is>
      </c>
      <c r="G6" s="22" t="inlineStr">
        <is>
          <t>IN</t>
        </is>
      </c>
      <c r="H6" s="22" t="inlineStr">
        <is>
          <t>7i84</t>
        </is>
      </c>
      <c r="I6" s="22" t="inlineStr">
        <is>
          <t>TB1</t>
        </is>
      </c>
      <c r="J6" s="22" t="inlineStr">
        <is>
          <t>IN0</t>
        </is>
      </c>
      <c r="K6" s="22" t="inlineStr">
        <is>
          <t>tool-clamped</t>
        </is>
      </c>
      <c r="L6" s="23" t="inlineStr">
        <is>
          <t>Tool clamp prox</t>
        </is>
      </c>
      <c r="M6" s="23" t="inlineStr">
        <is>
          <t>Confirmed from notes</t>
        </is>
      </c>
      <c r="N6" s="22" t="n"/>
    </row>
    <row r="7" ht="27.75" customHeight="1" s="18">
      <c r="B7" s="22" t="inlineStr">
        <is>
          <t>TOOL_UNCLAMPED</t>
        </is>
      </c>
      <c r="C7" s="22" t="inlineStr">
        <is>
          <t>PRS-8</t>
        </is>
      </c>
      <c r="D7" s="22" t="inlineStr">
        <is>
          <t>ATC/tool clamp</t>
        </is>
      </c>
      <c r="E7" s="23" t="inlineStr">
        <is>
          <t>Tool unclamped sensor</t>
        </is>
      </c>
      <c r="F7" s="22" t="inlineStr">
        <is>
          <t>NO assumed</t>
        </is>
      </c>
      <c r="G7" s="22" t="inlineStr">
        <is>
          <t>IN</t>
        </is>
      </c>
      <c r="H7" s="22" t="inlineStr">
        <is>
          <t>7i84</t>
        </is>
      </c>
      <c r="I7" s="22" t="inlineStr">
        <is>
          <t>TB1</t>
        </is>
      </c>
      <c r="J7" s="22" t="inlineStr">
        <is>
          <t>IN1</t>
        </is>
      </c>
      <c r="K7" s="22" t="inlineStr">
        <is>
          <t>tool-unclamped</t>
        </is>
      </c>
      <c r="L7" s="23" t="inlineStr">
        <is>
          <t>Tool unclamp prox</t>
        </is>
      </c>
      <c r="M7" s="23" t="inlineStr">
        <is>
          <t>Confirmed from notes</t>
        </is>
      </c>
      <c r="N7" s="22" t="n"/>
    </row>
    <row r="8" ht="27.75" customHeight="1" s="18">
      <c r="B8" s="22" t="inlineStr">
        <is>
          <t>ATC_ZONE_Y</t>
        </is>
      </c>
      <c r="C8" s="22" t="n"/>
      <c r="D8" s="22" t="inlineStr">
        <is>
          <t>ATC interlock</t>
        </is>
      </c>
      <c r="E8" s="23" t="inlineStr">
        <is>
          <t>Y axis in tool-change zone</t>
        </is>
      </c>
      <c r="F8" s="22" t="inlineStr">
        <is>
          <t>NO assumed</t>
        </is>
      </c>
      <c r="G8" s="22" t="inlineStr">
        <is>
          <t>IN</t>
        </is>
      </c>
      <c r="H8" s="22" t="inlineStr">
        <is>
          <t>7i84</t>
        </is>
      </c>
      <c r="I8" s="22" t="inlineStr">
        <is>
          <t>TB1</t>
        </is>
      </c>
      <c r="J8" s="22" t="inlineStr">
        <is>
          <t>IN2</t>
        </is>
      </c>
      <c r="K8" s="22" t="inlineStr">
        <is>
          <t>atc-y-zone</t>
        </is>
      </c>
      <c r="L8" s="23" t="inlineStr">
        <is>
          <t>Axis-zone prox if present</t>
        </is>
      </c>
      <c r="M8" s="23" t="inlineStr">
        <is>
          <t>Verify in cabinet</t>
        </is>
      </c>
      <c r="N8" s="23" t="inlineStr">
        <is>
          <t>May be software position only or separate switch.</t>
        </is>
      </c>
    </row>
    <row r="9" ht="27.75" customHeight="1" s="18">
      <c r="B9" s="22" t="inlineStr">
        <is>
          <t>ATC_ZONE_Z</t>
        </is>
      </c>
      <c r="C9" s="22" t="n"/>
      <c r="D9" s="22" t="inlineStr">
        <is>
          <t>ATC interlock</t>
        </is>
      </c>
      <c r="E9" s="23" t="inlineStr">
        <is>
          <t>Z axis in tool-change zone</t>
        </is>
      </c>
      <c r="F9" s="22" t="inlineStr">
        <is>
          <t>NO assumed</t>
        </is>
      </c>
      <c r="G9" s="22" t="inlineStr">
        <is>
          <t>IN</t>
        </is>
      </c>
      <c r="H9" s="22" t="inlineStr">
        <is>
          <t>7i84</t>
        </is>
      </c>
      <c r="I9" s="22" t="inlineStr">
        <is>
          <t>TB1</t>
        </is>
      </c>
      <c r="J9" s="22" t="inlineStr">
        <is>
          <t>IN3</t>
        </is>
      </c>
      <c r="K9" s="22" t="inlineStr">
        <is>
          <t>atc-z-zone</t>
        </is>
      </c>
      <c r="L9" s="23" t="inlineStr">
        <is>
          <t>Axis-zone prox if present</t>
        </is>
      </c>
      <c r="M9" s="23" t="inlineStr">
        <is>
          <t>Verify in cabinet</t>
        </is>
      </c>
      <c r="N9" s="22" t="n"/>
    </row>
    <row r="10" ht="27.75" customHeight="1" s="18">
      <c r="B10" s="23" t="inlineStr">
        <is>
          <t>MAG_IN_POSITION</t>
        </is>
      </c>
      <c r="C10" s="22" t="inlineStr">
        <is>
          <t>PRS-13</t>
        </is>
      </c>
      <c r="D10" s="22" t="inlineStr">
        <is>
          <t>Magazine</t>
        </is>
      </c>
      <c r="E10" s="23" t="inlineStr">
        <is>
          <t>Magazine indexed/in-position</t>
        </is>
      </c>
      <c r="F10" s="22" t="inlineStr">
        <is>
          <t>NO assumed</t>
        </is>
      </c>
      <c r="G10" s="22" t="inlineStr">
        <is>
          <t>IN</t>
        </is>
      </c>
      <c r="H10" s="22" t="inlineStr">
        <is>
          <t>7i84</t>
        </is>
      </c>
      <c r="I10" s="22" t="inlineStr">
        <is>
          <t>TB1</t>
        </is>
      </c>
      <c r="J10" s="22" t="inlineStr">
        <is>
          <t>IN4</t>
        </is>
      </c>
      <c r="K10" s="22" t="inlineStr">
        <is>
          <t>mag-in-pos</t>
        </is>
      </c>
      <c r="L10" s="23" t="inlineStr">
        <is>
          <t>Magazine in-position prox</t>
        </is>
      </c>
      <c r="M10" s="23" t="inlineStr">
        <is>
          <t>Confirmed from notes</t>
        </is>
      </c>
      <c r="N10" s="22" t="n"/>
    </row>
    <row r="11" ht="27.75" customHeight="1" s="18">
      <c r="B11" s="22" t="inlineStr">
        <is>
          <t>TOOL_BIT0</t>
        </is>
      </c>
      <c r="C11" s="22" t="inlineStr">
        <is>
          <t>PRS-21</t>
        </is>
      </c>
      <c r="D11" s="22" t="inlineStr">
        <is>
          <t>Magazine</t>
        </is>
      </c>
      <c r="E11" s="23" t="inlineStr">
        <is>
          <t>Magazine tool code bit 0</t>
        </is>
      </c>
      <c r="F11" s="22" t="inlineStr">
        <is>
          <t>NO assumed</t>
        </is>
      </c>
      <c r="G11" s="22" t="inlineStr">
        <is>
          <t>IN</t>
        </is>
      </c>
      <c r="H11" s="22" t="inlineStr">
        <is>
          <t>7i84</t>
        </is>
      </c>
      <c r="I11" s="22" t="inlineStr">
        <is>
          <t>TB1</t>
        </is>
      </c>
      <c r="J11" s="22" t="inlineStr">
        <is>
          <t>IN5</t>
        </is>
      </c>
      <c r="K11" s="22" t="inlineStr">
        <is>
          <t>tool-code-0</t>
        </is>
      </c>
      <c r="L11" s="23" t="inlineStr">
        <is>
          <t>Tool position prox</t>
        </is>
      </c>
      <c r="M11" s="23" t="inlineStr">
        <is>
          <t>Confirmed from notes</t>
        </is>
      </c>
      <c r="N11" s="22" t="n"/>
    </row>
    <row r="12" ht="27.75" customHeight="1" s="18">
      <c r="B12" s="22" t="inlineStr">
        <is>
          <t>TOOL_BIT1</t>
        </is>
      </c>
      <c r="C12" s="22" t="inlineStr">
        <is>
          <t>PRS-22</t>
        </is>
      </c>
      <c r="D12" s="22" t="inlineStr">
        <is>
          <t>Magazine</t>
        </is>
      </c>
      <c r="E12" s="23" t="inlineStr">
        <is>
          <t>Magazine tool code bit 1</t>
        </is>
      </c>
      <c r="F12" s="22" t="inlineStr">
        <is>
          <t>NO assumed</t>
        </is>
      </c>
      <c r="G12" s="22" t="inlineStr">
        <is>
          <t>IN</t>
        </is>
      </c>
      <c r="H12" s="22" t="inlineStr">
        <is>
          <t>7i84</t>
        </is>
      </c>
      <c r="I12" s="22" t="inlineStr">
        <is>
          <t>TB1</t>
        </is>
      </c>
      <c r="J12" s="22" t="inlineStr">
        <is>
          <t>IN6</t>
        </is>
      </c>
      <c r="K12" s="22" t="inlineStr">
        <is>
          <t>tool-code-1</t>
        </is>
      </c>
      <c r="L12" s="23" t="inlineStr">
        <is>
          <t>Tool position prox</t>
        </is>
      </c>
      <c r="M12" s="23" t="inlineStr">
        <is>
          <t>Confirmed from notes</t>
        </is>
      </c>
      <c r="N12" s="22" t="n"/>
    </row>
    <row r="13" ht="27.75" customHeight="1" s="18">
      <c r="B13" s="22" t="inlineStr">
        <is>
          <t>TOOL_BIT2</t>
        </is>
      </c>
      <c r="C13" s="22" t="inlineStr">
        <is>
          <t>PRS-23</t>
        </is>
      </c>
      <c r="D13" s="22" t="inlineStr">
        <is>
          <t>Magazine</t>
        </is>
      </c>
      <c r="E13" s="23" t="inlineStr">
        <is>
          <t>Magazine tool code bit 2</t>
        </is>
      </c>
      <c r="F13" s="22" t="inlineStr">
        <is>
          <t>NO assumed</t>
        </is>
      </c>
      <c r="G13" s="22" t="inlineStr">
        <is>
          <t>IN</t>
        </is>
      </c>
      <c r="H13" s="22" t="inlineStr">
        <is>
          <t>7i84</t>
        </is>
      </c>
      <c r="I13" s="22" t="inlineStr">
        <is>
          <t>TB1</t>
        </is>
      </c>
      <c r="J13" s="22" t="inlineStr">
        <is>
          <t>IN7</t>
        </is>
      </c>
      <c r="K13" s="22" t="inlineStr">
        <is>
          <t>tool-code-2</t>
        </is>
      </c>
      <c r="L13" s="23" t="inlineStr">
        <is>
          <t>Tool position prox</t>
        </is>
      </c>
      <c r="M13" s="23" t="inlineStr">
        <is>
          <t>Confirmed from notes</t>
        </is>
      </c>
      <c r="N13" s="22" t="n"/>
    </row>
    <row r="14" ht="27.75" customHeight="1" s="18">
      <c r="B14" s="22" t="inlineStr">
        <is>
          <t>TOOL_BIT3</t>
        </is>
      </c>
      <c r="C14" s="22" t="inlineStr">
        <is>
          <t>PRS-24</t>
        </is>
      </c>
      <c r="D14" s="22" t="inlineStr">
        <is>
          <t>Magazine</t>
        </is>
      </c>
      <c r="E14" s="23" t="inlineStr">
        <is>
          <t>Magazine tool code bit 3</t>
        </is>
      </c>
      <c r="F14" s="22" t="inlineStr">
        <is>
          <t>NO assumed</t>
        </is>
      </c>
      <c r="G14" s="22" t="inlineStr">
        <is>
          <t>IN</t>
        </is>
      </c>
      <c r="H14" s="22" t="inlineStr">
        <is>
          <t>7i84</t>
        </is>
      </c>
      <c r="I14" s="22" t="inlineStr">
        <is>
          <t>TB1</t>
        </is>
      </c>
      <c r="J14" s="22" t="inlineStr">
        <is>
          <t>IN8</t>
        </is>
      </c>
      <c r="K14" s="22" t="inlineStr">
        <is>
          <t>tool-code-3</t>
        </is>
      </c>
      <c r="L14" s="23" t="inlineStr">
        <is>
          <t>Tool position prox</t>
        </is>
      </c>
      <c r="M14" s="23" t="inlineStr">
        <is>
          <t>Confirmed from notes</t>
        </is>
      </c>
      <c r="N14" s="22" t="n"/>
    </row>
    <row r="15" ht="27.75" customHeight="1" s="18">
      <c r="B15" s="22" t="inlineStr">
        <is>
          <t>TOOL_BIT4</t>
        </is>
      </c>
      <c r="C15" s="22" t="inlineStr">
        <is>
          <t>PRS-25</t>
        </is>
      </c>
      <c r="D15" s="22" t="inlineStr">
        <is>
          <t>Magazine</t>
        </is>
      </c>
      <c r="E15" s="23" t="inlineStr">
        <is>
          <t>Magazine tool code bit 4 if used</t>
        </is>
      </c>
      <c r="F15" s="22" t="inlineStr">
        <is>
          <t>NO assumed</t>
        </is>
      </c>
      <c r="G15" s="22" t="inlineStr">
        <is>
          <t>IN</t>
        </is>
      </c>
      <c r="H15" s="22" t="inlineStr">
        <is>
          <t>7i84</t>
        </is>
      </c>
      <c r="I15" s="22" t="inlineStr">
        <is>
          <t>TB1</t>
        </is>
      </c>
      <c r="J15" s="22" t="inlineStr">
        <is>
          <t>IN9</t>
        </is>
      </c>
      <c r="K15" s="22" t="inlineStr">
        <is>
          <t>tool-code-4</t>
        </is>
      </c>
      <c r="L15" s="23" t="inlineStr">
        <is>
          <t>Tool position prox</t>
        </is>
      </c>
      <c r="M15" s="23" t="inlineStr">
        <is>
          <t>Verify in cabinet</t>
        </is>
      </c>
      <c r="N15" s="23" t="inlineStr">
        <is>
          <t>Depends on magazine tool count.</t>
        </is>
      </c>
    </row>
    <row r="16" ht="27.75" customHeight="1" s="18">
      <c r="B16" s="22" t="inlineStr">
        <is>
          <t>COOLANT_LOW</t>
        </is>
      </c>
      <c r="C16" s="22" t="n"/>
      <c r="D16" s="22" t="inlineStr">
        <is>
          <t>Coolant</t>
        </is>
      </c>
      <c r="E16" s="23" t="inlineStr">
        <is>
          <t>Coolant tank low level</t>
        </is>
      </c>
      <c r="F16" s="22" t="inlineStr">
        <is>
          <t>NO assumed</t>
        </is>
      </c>
      <c r="G16" s="22" t="inlineStr">
        <is>
          <t>IN</t>
        </is>
      </c>
      <c r="H16" s="22" t="inlineStr">
        <is>
          <t>7i84</t>
        </is>
      </c>
      <c r="I16" s="22" t="inlineStr">
        <is>
          <t>TB1</t>
        </is>
      </c>
      <c r="J16" s="22" t="inlineStr">
        <is>
          <t>IN10</t>
        </is>
      </c>
      <c r="K16" s="22" t="inlineStr">
        <is>
          <t>coolant-low</t>
        </is>
      </c>
      <c r="L16" s="23" t="inlineStr">
        <is>
          <t>Coolant tank switch if present</t>
        </is>
      </c>
      <c r="M16" s="22" t="inlineStr">
        <is>
          <t>Optional</t>
        </is>
      </c>
      <c r="N16" s="22" t="n"/>
    </row>
    <row r="17" ht="27.75" customHeight="1" s="18">
      <c r="B17" s="22" t="inlineStr">
        <is>
          <t>AIR_PRESS_OK</t>
        </is>
      </c>
      <c r="C17" s="22" t="n"/>
      <c r="D17" s="22" t="inlineStr">
        <is>
          <t>Pneumatic</t>
        </is>
      </c>
      <c r="E17" s="23" t="inlineStr">
        <is>
          <t>Shop air pressure OK</t>
        </is>
      </c>
      <c r="F17" s="22" t="inlineStr">
        <is>
          <t>NO assumed</t>
        </is>
      </c>
      <c r="G17" s="22" t="inlineStr">
        <is>
          <t>IN</t>
        </is>
      </c>
      <c r="H17" s="22" t="inlineStr">
        <is>
          <t>7i84</t>
        </is>
      </c>
      <c r="I17" s="22" t="inlineStr">
        <is>
          <t>TB1</t>
        </is>
      </c>
      <c r="J17" s="22" t="inlineStr">
        <is>
          <t>IN11</t>
        </is>
      </c>
      <c r="K17" s="22" t="inlineStr">
        <is>
          <t>air-ok</t>
        </is>
      </c>
      <c r="L17" s="23" t="inlineStr">
        <is>
          <t>Air pressure switch</t>
        </is>
      </c>
      <c r="M17" s="23" t="inlineStr">
        <is>
          <t>Verify in cabinet</t>
        </is>
      </c>
      <c r="N17" s="23" t="inlineStr">
        <is>
          <t>Needed if air blast/tool functions depend on air.</t>
        </is>
      </c>
    </row>
    <row r="18" ht="27.75" customHeight="1" s="18">
      <c r="B18" s="23" t="inlineStr">
        <is>
          <t>MAG_COVER_CLOSED</t>
        </is>
      </c>
      <c r="C18" s="22" t="n"/>
      <c r="D18" s="22" t="inlineStr">
        <is>
          <t>Magazine</t>
        </is>
      </c>
      <c r="E18" s="23" t="inlineStr">
        <is>
          <t>Magazine cover closed</t>
        </is>
      </c>
      <c r="F18" s="22" t="inlineStr">
        <is>
          <t>TBD</t>
        </is>
      </c>
      <c r="G18" s="22" t="inlineStr">
        <is>
          <t>IN</t>
        </is>
      </c>
      <c r="H18" s="22" t="inlineStr">
        <is>
          <t>7i84</t>
        </is>
      </c>
      <c r="I18" s="22" t="inlineStr">
        <is>
          <t>TB1</t>
        </is>
      </c>
      <c r="J18" s="22" t="inlineStr">
        <is>
          <t>Spare IN</t>
        </is>
      </c>
      <c r="K18" s="23" t="inlineStr">
        <is>
          <t>mag-cover-closed</t>
        </is>
      </c>
      <c r="L18" s="23" t="inlineStr">
        <is>
          <t>Cover switch if present</t>
        </is>
      </c>
      <c r="M18" s="23" t="inlineStr">
        <is>
          <t>Verify in cabinet</t>
        </is>
      </c>
      <c r="N18" s="22" t="n"/>
    </row>
    <row r="19" ht="27.75" customHeight="1" s="18">
      <c r="B19" s="22" t="inlineStr">
        <is>
          <t>COOLANT_TOGGLE</t>
        </is>
      </c>
      <c r="C19" s="22" t="n"/>
      <c r="D19" s="22" t="inlineStr">
        <is>
          <t>Panel</t>
        </is>
      </c>
      <c r="E19" s="23" t="inlineStr">
        <is>
          <t>Coolant toggle button</t>
        </is>
      </c>
      <c r="F19" s="22" t="inlineStr">
        <is>
          <t>NO momentary</t>
        </is>
      </c>
      <c r="G19" s="22" t="inlineStr">
        <is>
          <t>IN</t>
        </is>
      </c>
      <c r="H19" s="22" t="inlineStr">
        <is>
          <t>7i84</t>
        </is>
      </c>
      <c r="I19" s="22" t="inlineStr">
        <is>
          <t>TB1</t>
        </is>
      </c>
      <c r="J19" s="22" t="inlineStr">
        <is>
          <t>Spare IN</t>
        </is>
      </c>
      <c r="K19" s="22" t="inlineStr">
        <is>
          <t>coolant-toggle</t>
        </is>
      </c>
      <c r="L19" s="22" t="inlineStr">
        <is>
          <t>Operator panel</t>
        </is>
      </c>
      <c r="M19" s="22" t="inlineStr">
        <is>
          <t>Optional</t>
        </is>
      </c>
      <c r="N19" s="22" t="n"/>
    </row>
    <row r="20" ht="27.75" customHeight="1" s="18">
      <c r="B20" s="23" t="inlineStr">
        <is>
          <t>SPINDLE_OVERRIDE_CONTACTS</t>
        </is>
      </c>
      <c r="C20" s="22" t="n"/>
      <c r="D20" s="22" t="inlineStr">
        <is>
          <t>Panel</t>
        </is>
      </c>
      <c r="E20" s="23" t="inlineStr">
        <is>
          <t>Spindle override selector contacts</t>
        </is>
      </c>
      <c r="F20" s="22" t="inlineStr">
        <is>
          <t>TBD</t>
        </is>
      </c>
      <c r="G20" s="22" t="inlineStr">
        <is>
          <t>IN</t>
        </is>
      </c>
      <c r="H20" s="22" t="inlineStr">
        <is>
          <t>7i84</t>
        </is>
      </c>
      <c r="I20" s="22" t="inlineStr">
        <is>
          <t>TB1</t>
        </is>
      </c>
      <c r="J20" s="22" t="inlineStr">
        <is>
          <t>Spare IN</t>
        </is>
      </c>
      <c r="K20" s="23" t="inlineStr">
        <is>
          <t>spindle-override-sel</t>
        </is>
      </c>
      <c r="L20" s="22" t="inlineStr">
        <is>
          <t>Operator panel</t>
        </is>
      </c>
      <c r="M20" s="22" t="inlineStr">
        <is>
          <t>Optional</t>
        </is>
      </c>
      <c r="N20" s="23" t="inlineStr">
        <is>
          <t>If analog/pot, not a simple DI.</t>
        </is>
      </c>
    </row>
    <row r="21" ht="27.75" customHeight="1" s="18">
      <c r="B21" s="22" t="inlineStr">
        <is>
          <t>ATC_HOME_PB</t>
        </is>
      </c>
      <c r="C21" s="22" t="n"/>
      <c r="D21" s="22" t="inlineStr">
        <is>
          <t>Panel/ATC</t>
        </is>
      </c>
      <c r="E21" s="23" t="inlineStr">
        <is>
          <t>ATC home or magazine jog button</t>
        </is>
      </c>
      <c r="F21" s="22" t="inlineStr">
        <is>
          <t>NO momentary</t>
        </is>
      </c>
      <c r="G21" s="22" t="inlineStr">
        <is>
          <t>IN</t>
        </is>
      </c>
      <c r="H21" s="22" t="inlineStr">
        <is>
          <t>7i84</t>
        </is>
      </c>
      <c r="I21" s="22" t="inlineStr">
        <is>
          <t>TB1</t>
        </is>
      </c>
      <c r="J21" s="22" t="inlineStr">
        <is>
          <t>Spare IN</t>
        </is>
      </c>
      <c r="K21" s="22" t="inlineStr">
        <is>
          <t>atc-home-pb</t>
        </is>
      </c>
      <c r="L21" s="23" t="inlineStr">
        <is>
          <t>Operator panel/custom button</t>
        </is>
      </c>
      <c r="M21" s="22" t="inlineStr">
        <is>
          <t>Optional</t>
        </is>
      </c>
      <c r="N21" s="22" t="n"/>
    </row>
    <row r="22" ht="27.75" customHeight="1" s="18">
      <c r="B22" s="23" t="inlineStr">
        <is>
          <t>CHIP_CONV_FAULT</t>
        </is>
      </c>
      <c r="C22" s="22" t="n"/>
      <c r="D22" s="22" t="inlineStr">
        <is>
          <t>Chip handling</t>
        </is>
      </c>
      <c r="E22" s="23" t="inlineStr">
        <is>
          <t>Chip conveyor overload/fault</t>
        </is>
      </c>
      <c r="F22" s="22" t="inlineStr">
        <is>
          <t>TBD</t>
        </is>
      </c>
      <c r="G22" s="22" t="inlineStr">
        <is>
          <t>IN</t>
        </is>
      </c>
      <c r="H22" s="22" t="inlineStr">
        <is>
          <t>7i84</t>
        </is>
      </c>
      <c r="I22" s="22" t="inlineStr">
        <is>
          <t>TB1</t>
        </is>
      </c>
      <c r="J22" s="22" t="inlineStr">
        <is>
          <t>Spare IN</t>
        </is>
      </c>
      <c r="K22" s="23" t="inlineStr">
        <is>
          <t>chip-conveyor-fault</t>
        </is>
      </c>
      <c r="L22" s="23" t="inlineStr">
        <is>
          <t>Future conveyor overload</t>
        </is>
      </c>
      <c r="M22" s="22" t="inlineStr">
        <is>
          <t>Optional</t>
        </is>
      </c>
      <c r="N22" s="22" t="inlineStr">
        <is>
          <t>Future.</t>
        </is>
      </c>
    </row>
    <row r="23" ht="27.75" customHeight="1" s="18">
      <c r="B23" s="23" t="inlineStr">
        <is>
          <t>TOOL_UNCLAMP_SOL</t>
        </is>
      </c>
      <c r="C23" s="22" t="inlineStr">
        <is>
          <t>SOL-10</t>
        </is>
      </c>
      <c r="D23" s="22" t="inlineStr">
        <is>
          <t>ATC/tool clamp</t>
        </is>
      </c>
      <c r="E23" s="23" t="inlineStr">
        <is>
          <t>Tool unclamp solenoid</t>
        </is>
      </c>
      <c r="F23" s="23" t="inlineStr">
        <is>
          <t>Active-high assumed</t>
        </is>
      </c>
      <c r="G23" s="22" t="inlineStr">
        <is>
          <t>OUT</t>
        </is>
      </c>
      <c r="H23" s="22" t="inlineStr">
        <is>
          <t>7i84</t>
        </is>
      </c>
      <c r="I23" s="22" t="inlineStr">
        <is>
          <t>TB2</t>
        </is>
      </c>
      <c r="J23" s="22" t="inlineStr">
        <is>
          <t>OUT0</t>
        </is>
      </c>
      <c r="K23" s="23" t="inlineStr">
        <is>
          <t>tool-unclamp-sol</t>
        </is>
      </c>
      <c r="L23" s="23" t="inlineStr">
        <is>
          <t>Hydraulic valve coil</t>
        </is>
      </c>
      <c r="M23" s="23" t="inlineStr">
        <is>
          <t>Confirmed from notes</t>
        </is>
      </c>
      <c r="N23" s="23" t="inlineStr">
        <is>
          <t>Verify coil voltage/current before direct output.</t>
        </is>
      </c>
    </row>
    <row r="24" ht="27.75" customHeight="1" s="18">
      <c r="B24" s="22" t="inlineStr">
        <is>
          <t>MAG_CW_SOL</t>
        </is>
      </c>
      <c r="C24" s="22" t="inlineStr">
        <is>
          <t>SOL-8A</t>
        </is>
      </c>
      <c r="D24" s="22" t="inlineStr">
        <is>
          <t>Magazine</t>
        </is>
      </c>
      <c r="E24" s="23" t="inlineStr">
        <is>
          <t>Magazine rotate CW/forward</t>
        </is>
      </c>
      <c r="F24" s="23" t="inlineStr">
        <is>
          <t>Active-high assumed</t>
        </is>
      </c>
      <c r="G24" s="22" t="inlineStr">
        <is>
          <t>OUT</t>
        </is>
      </c>
      <c r="H24" s="22" t="inlineStr">
        <is>
          <t>7i84</t>
        </is>
      </c>
      <c r="I24" s="22" t="inlineStr">
        <is>
          <t>TB2</t>
        </is>
      </c>
      <c r="J24" s="22" t="inlineStr">
        <is>
          <t>OUT1</t>
        </is>
      </c>
      <c r="K24" s="22" t="inlineStr">
        <is>
          <t>mag-cw-sol</t>
        </is>
      </c>
      <c r="L24" s="23" t="inlineStr">
        <is>
          <t>Hydraulic valve coil</t>
        </is>
      </c>
      <c r="M24" s="23" t="inlineStr">
        <is>
          <t>Confirmed from notes</t>
        </is>
      </c>
      <c r="N24" s="22" t="n"/>
    </row>
    <row r="25" ht="27.75" customHeight="1" s="18">
      <c r="B25" s="22" t="inlineStr">
        <is>
          <t>MAG_CCW_SOL</t>
        </is>
      </c>
      <c r="C25" s="22" t="inlineStr">
        <is>
          <t>SOL-8B</t>
        </is>
      </c>
      <c r="D25" s="22" t="inlineStr">
        <is>
          <t>Magazine</t>
        </is>
      </c>
      <c r="E25" s="23" t="inlineStr">
        <is>
          <t>Magazine rotate CCW/reverse</t>
        </is>
      </c>
      <c r="F25" s="23" t="inlineStr">
        <is>
          <t>Active-high assumed</t>
        </is>
      </c>
      <c r="G25" s="22" t="inlineStr">
        <is>
          <t>OUT</t>
        </is>
      </c>
      <c r="H25" s="22" t="inlineStr">
        <is>
          <t>7i84</t>
        </is>
      </c>
      <c r="I25" s="22" t="inlineStr">
        <is>
          <t>TB2</t>
        </is>
      </c>
      <c r="J25" s="22" t="inlineStr">
        <is>
          <t>OUT2</t>
        </is>
      </c>
      <c r="K25" s="22" t="inlineStr">
        <is>
          <t>mag-ccw-sol</t>
        </is>
      </c>
      <c r="L25" s="23" t="inlineStr">
        <is>
          <t>Hydraulic valve coil</t>
        </is>
      </c>
      <c r="M25" s="23" t="inlineStr">
        <is>
          <t>Confirmed from notes</t>
        </is>
      </c>
      <c r="N25" s="22" t="n"/>
    </row>
    <row r="26" ht="27.75" customHeight="1" s="18">
      <c r="B26" s="22" t="inlineStr">
        <is>
          <t>MAG_COVER_OPEN</t>
        </is>
      </c>
      <c r="C26" s="22" t="inlineStr">
        <is>
          <t>M15</t>
        </is>
      </c>
      <c r="D26" s="22" t="inlineStr">
        <is>
          <t>Magazine</t>
        </is>
      </c>
      <c r="E26" s="23" t="inlineStr">
        <is>
          <t>Magazine cover open solenoid</t>
        </is>
      </c>
      <c r="F26" s="23" t="inlineStr">
        <is>
          <t>Active-high assumed</t>
        </is>
      </c>
      <c r="G26" s="22" t="inlineStr">
        <is>
          <t>OUT</t>
        </is>
      </c>
      <c r="H26" s="22" t="inlineStr">
        <is>
          <t>7i84</t>
        </is>
      </c>
      <c r="I26" s="22" t="inlineStr">
        <is>
          <t>TB2</t>
        </is>
      </c>
      <c r="J26" s="22" t="inlineStr">
        <is>
          <t>OUT3</t>
        </is>
      </c>
      <c r="K26" s="22" t="inlineStr">
        <is>
          <t>mag-cover-open</t>
        </is>
      </c>
      <c r="L26" s="23" t="inlineStr">
        <is>
          <t>Cover solenoid if separate</t>
        </is>
      </c>
      <c r="M26" s="23" t="inlineStr">
        <is>
          <t>Verify in cabinet</t>
        </is>
      </c>
      <c r="N26" s="23" t="inlineStr">
        <is>
          <t>Only if separate solenoid present.</t>
        </is>
      </c>
    </row>
    <row r="27" ht="27.75" customHeight="1" s="18">
      <c r="B27" s="23" t="inlineStr">
        <is>
          <t>MAG_COVER_CLOSE</t>
        </is>
      </c>
      <c r="C27" s="22" t="inlineStr">
        <is>
          <t>M16</t>
        </is>
      </c>
      <c r="D27" s="22" t="inlineStr">
        <is>
          <t>Magazine</t>
        </is>
      </c>
      <c r="E27" s="23" t="inlineStr">
        <is>
          <t>Magazine cover close solenoid</t>
        </is>
      </c>
      <c r="F27" s="23" t="inlineStr">
        <is>
          <t>Active-high assumed</t>
        </is>
      </c>
      <c r="G27" s="22" t="inlineStr">
        <is>
          <t>OUT</t>
        </is>
      </c>
      <c r="H27" s="22" t="inlineStr">
        <is>
          <t>7i84</t>
        </is>
      </c>
      <c r="I27" s="22" t="inlineStr">
        <is>
          <t>TB2</t>
        </is>
      </c>
      <c r="J27" s="22" t="inlineStr">
        <is>
          <t>OUT4</t>
        </is>
      </c>
      <c r="K27" s="23" t="inlineStr">
        <is>
          <t>mag-cover-close</t>
        </is>
      </c>
      <c r="L27" s="23" t="inlineStr">
        <is>
          <t>Cover solenoid if separate</t>
        </is>
      </c>
      <c r="M27" s="23" t="inlineStr">
        <is>
          <t>Verify in cabinet</t>
        </is>
      </c>
      <c r="N27" s="22" t="n"/>
    </row>
    <row r="28" ht="27.75" customHeight="1" s="18">
      <c r="B28" s="22" t="inlineStr">
        <is>
          <t>FLOOD_COOLANT</t>
        </is>
      </c>
      <c r="C28" s="22" t="inlineStr">
        <is>
          <t>M08</t>
        </is>
      </c>
      <c r="D28" s="22" t="inlineStr">
        <is>
          <t>Coolant</t>
        </is>
      </c>
      <c r="E28" s="23" t="inlineStr">
        <is>
          <t>Flood coolant pump contactor</t>
        </is>
      </c>
      <c r="F28" s="23" t="inlineStr">
        <is>
          <t>Active-high assumed</t>
        </is>
      </c>
      <c r="G28" s="22" t="inlineStr">
        <is>
          <t>OUT</t>
        </is>
      </c>
      <c r="H28" s="22" t="inlineStr">
        <is>
          <t>7i84</t>
        </is>
      </c>
      <c r="I28" s="22" t="inlineStr">
        <is>
          <t>TB2</t>
        </is>
      </c>
      <c r="J28" s="22" t="inlineStr">
        <is>
          <t>OUT5</t>
        </is>
      </c>
      <c r="K28" s="22" t="inlineStr">
        <is>
          <t>flood-coolant</t>
        </is>
      </c>
      <c r="L28" s="23" t="inlineStr">
        <is>
          <t>Coolant contactor/relay</t>
        </is>
      </c>
      <c r="M28" s="23" t="inlineStr">
        <is>
          <t>Confirmed from notes</t>
        </is>
      </c>
      <c r="N28" s="23" t="inlineStr">
        <is>
          <t>May need interposing relay.</t>
        </is>
      </c>
    </row>
    <row r="29" ht="27.75" customHeight="1" s="18">
      <c r="B29" s="22" t="inlineStr">
        <is>
          <t>MIST_COOLANT</t>
        </is>
      </c>
      <c r="C29" s="22" t="inlineStr">
        <is>
          <t>M07</t>
        </is>
      </c>
      <c r="D29" s="22" t="inlineStr">
        <is>
          <t>Coolant</t>
        </is>
      </c>
      <c r="E29" s="23" t="inlineStr">
        <is>
          <t>Mist coolant valve</t>
        </is>
      </c>
      <c r="F29" s="23" t="inlineStr">
        <is>
          <t>Active-high assumed</t>
        </is>
      </c>
      <c r="G29" s="22" t="inlineStr">
        <is>
          <t>OUT</t>
        </is>
      </c>
      <c r="H29" s="22" t="inlineStr">
        <is>
          <t>7i84</t>
        </is>
      </c>
      <c r="I29" s="22" t="inlineStr">
        <is>
          <t>TB2</t>
        </is>
      </c>
      <c r="J29" s="22" t="inlineStr">
        <is>
          <t>OUT6</t>
        </is>
      </c>
      <c r="K29" s="22" t="inlineStr">
        <is>
          <t>mist-coolant</t>
        </is>
      </c>
      <c r="L29" s="23" t="inlineStr">
        <is>
          <t>Mist valve if present</t>
        </is>
      </c>
      <c r="M29" s="22" t="inlineStr">
        <is>
          <t>Optional</t>
        </is>
      </c>
      <c r="N29" s="22" t="n"/>
    </row>
    <row r="30" ht="27.75" customHeight="1" s="18">
      <c r="B30" s="22" t="inlineStr">
        <is>
          <t>AIR_BLAST_1</t>
        </is>
      </c>
      <c r="C30" s="22" t="inlineStr">
        <is>
          <t>M50</t>
        </is>
      </c>
      <c r="D30" s="22" t="inlineStr">
        <is>
          <t>Air</t>
        </is>
      </c>
      <c r="E30" s="23" t="inlineStr">
        <is>
          <t>Workpiece air blast 1</t>
        </is>
      </c>
      <c r="F30" s="23" t="inlineStr">
        <is>
          <t>Active-high assumed</t>
        </is>
      </c>
      <c r="G30" s="22" t="inlineStr">
        <is>
          <t>OUT</t>
        </is>
      </c>
      <c r="H30" s="22" t="inlineStr">
        <is>
          <t>7i84</t>
        </is>
      </c>
      <c r="I30" s="22" t="inlineStr">
        <is>
          <t>TB2</t>
        </is>
      </c>
      <c r="J30" s="22" t="inlineStr">
        <is>
          <t>OUT7</t>
        </is>
      </c>
      <c r="K30" s="22" t="inlineStr">
        <is>
          <t>air-blast-1</t>
        </is>
      </c>
      <c r="L30" s="22" t="inlineStr">
        <is>
          <t>Air solenoid</t>
        </is>
      </c>
      <c r="M30" s="23" t="inlineStr">
        <is>
          <t>Confirmed from notes</t>
        </is>
      </c>
      <c r="N30" s="22" t="n"/>
    </row>
    <row r="31" ht="27.75" customHeight="1" s="18">
      <c r="B31" s="22" t="inlineStr">
        <is>
          <t>AIR_BLAST_2</t>
        </is>
      </c>
      <c r="C31" s="22" t="inlineStr">
        <is>
          <t>M53</t>
        </is>
      </c>
      <c r="D31" s="22" t="inlineStr">
        <is>
          <t>Air</t>
        </is>
      </c>
      <c r="E31" s="23" t="inlineStr">
        <is>
          <t>Workpiece air blast 2</t>
        </is>
      </c>
      <c r="F31" s="23" t="inlineStr">
        <is>
          <t>Active-high assumed</t>
        </is>
      </c>
      <c r="G31" s="22" t="inlineStr">
        <is>
          <t>OUT</t>
        </is>
      </c>
      <c r="H31" s="22" t="inlineStr">
        <is>
          <t>7i84</t>
        </is>
      </c>
      <c r="I31" s="22" t="inlineStr">
        <is>
          <t>TB2</t>
        </is>
      </c>
      <c r="J31" s="22" t="inlineStr">
        <is>
          <t>OUT8</t>
        </is>
      </c>
      <c r="K31" s="22" t="inlineStr">
        <is>
          <t>air-blast-2</t>
        </is>
      </c>
      <c r="L31" s="22" t="inlineStr">
        <is>
          <t>Air solenoid</t>
        </is>
      </c>
      <c r="M31" s="23" t="inlineStr">
        <is>
          <t>Confirmed from notes</t>
        </is>
      </c>
      <c r="N31" s="22" t="n"/>
    </row>
    <row r="32" ht="27.75" customHeight="1" s="18">
      <c r="B32" s="22" t="inlineStr">
        <is>
          <t>TAP_COOLANT</t>
        </is>
      </c>
      <c r="C32" s="22" t="inlineStr">
        <is>
          <t>M52</t>
        </is>
      </c>
      <c r="D32" s="22" t="inlineStr">
        <is>
          <t>Coolant</t>
        </is>
      </c>
      <c r="E32" s="23" t="inlineStr">
        <is>
          <t>Tap coolant valve</t>
        </is>
      </c>
      <c r="F32" s="23" t="inlineStr">
        <is>
          <t>Active-high assumed</t>
        </is>
      </c>
      <c r="G32" s="22" t="inlineStr">
        <is>
          <t>OUT</t>
        </is>
      </c>
      <c r="H32" s="22" t="inlineStr">
        <is>
          <t>7i84</t>
        </is>
      </c>
      <c r="I32" s="22" t="inlineStr">
        <is>
          <t>TB2</t>
        </is>
      </c>
      <c r="J32" s="22" t="inlineStr">
        <is>
          <t>OUT9</t>
        </is>
      </c>
      <c r="K32" s="22" t="inlineStr">
        <is>
          <t>tap-coolant</t>
        </is>
      </c>
      <c r="L32" s="23" t="inlineStr">
        <is>
          <t>Tap coolant valve if plumbed</t>
        </is>
      </c>
      <c r="M32" s="22" t="inlineStr">
        <is>
          <t>Optional</t>
        </is>
      </c>
      <c r="N32" s="22" t="n"/>
    </row>
    <row r="33" ht="27.75" customHeight="1" s="18">
      <c r="B33" s="22" t="inlineStr">
        <is>
          <t>WORK_LIGHT</t>
        </is>
      </c>
      <c r="C33" s="22" t="n"/>
      <c r="D33" s="22" t="inlineStr">
        <is>
          <t>Utility</t>
        </is>
      </c>
      <c r="E33" s="22" t="inlineStr">
        <is>
          <t>Work light</t>
        </is>
      </c>
      <c r="F33" s="23" t="inlineStr">
        <is>
          <t>Active-high assumed</t>
        </is>
      </c>
      <c r="G33" s="22" t="inlineStr">
        <is>
          <t>OUT</t>
        </is>
      </c>
      <c r="H33" s="22" t="inlineStr">
        <is>
          <t>7i84</t>
        </is>
      </c>
      <c r="I33" s="22" t="inlineStr">
        <is>
          <t>TB2</t>
        </is>
      </c>
      <c r="J33" s="22" t="inlineStr">
        <is>
          <t>OUT10</t>
        </is>
      </c>
      <c r="K33" s="22" t="inlineStr">
        <is>
          <t>work-light</t>
        </is>
      </c>
      <c r="L33" s="23" t="inlineStr">
        <is>
          <t>Work light circuit</t>
        </is>
      </c>
      <c r="M33" s="22" t="inlineStr">
        <is>
          <t>Optional</t>
        </is>
      </c>
      <c r="N33" s="22" t="n"/>
    </row>
    <row r="34" ht="27.75" customHeight="1" s="18">
      <c r="B34" s="23" t="inlineStr">
        <is>
          <t>CHIP_CONVEYOR_ON</t>
        </is>
      </c>
      <c r="C34" s="22" t="n"/>
      <c r="D34" s="22" t="inlineStr">
        <is>
          <t>Chip handling</t>
        </is>
      </c>
      <c r="E34" s="23" t="inlineStr">
        <is>
          <t>Chip conveyor on/off</t>
        </is>
      </c>
      <c r="F34" s="23" t="inlineStr">
        <is>
          <t>Active-high assumed</t>
        </is>
      </c>
      <c r="G34" s="22" t="inlineStr">
        <is>
          <t>OUT</t>
        </is>
      </c>
      <c r="H34" s="22" t="inlineStr">
        <is>
          <t>7i84</t>
        </is>
      </c>
      <c r="I34" s="22" t="inlineStr">
        <is>
          <t>TB2</t>
        </is>
      </c>
      <c r="J34" s="22" t="inlineStr">
        <is>
          <t>Spare OUT</t>
        </is>
      </c>
      <c r="K34" s="23" t="inlineStr">
        <is>
          <t>chip-conveyor-on</t>
        </is>
      </c>
      <c r="L34" s="23" t="inlineStr">
        <is>
          <t>Future conveyor contactor</t>
        </is>
      </c>
      <c r="M34" s="22" t="inlineStr">
        <is>
          <t>Optional</t>
        </is>
      </c>
      <c r="N34" s="22" t="inlineStr">
        <is>
          <t>Future.</t>
        </is>
      </c>
    </row>
    <row r="35" ht="27.75" customHeight="1" s="18">
      <c r="B35" s="23" t="inlineStr">
        <is>
          <t>STACK_LIGHT_GREEN</t>
        </is>
      </c>
      <c r="C35" s="22" t="n"/>
      <c r="D35" s="22" t="inlineStr">
        <is>
          <t>Indicator</t>
        </is>
      </c>
      <c r="E35" s="23" t="inlineStr">
        <is>
          <t>Green stack light</t>
        </is>
      </c>
      <c r="F35" s="23" t="inlineStr">
        <is>
          <t>Active-high assumed</t>
        </is>
      </c>
      <c r="G35" s="22" t="inlineStr">
        <is>
          <t>OUT</t>
        </is>
      </c>
      <c r="H35" s="22" t="inlineStr">
        <is>
          <t>7i84</t>
        </is>
      </c>
      <c r="I35" s="22" t="inlineStr">
        <is>
          <t>TB2</t>
        </is>
      </c>
      <c r="J35" s="22" t="inlineStr">
        <is>
          <t>Spare OUT</t>
        </is>
      </c>
      <c r="K35" s="22" t="inlineStr">
        <is>
          <t>stack-green</t>
        </is>
      </c>
      <c r="L35" s="23" t="inlineStr">
        <is>
          <t>Future stack light</t>
        </is>
      </c>
      <c r="M35" s="22" t="inlineStr">
        <is>
          <t>Optional</t>
        </is>
      </c>
      <c r="N35" s="22" t="inlineStr">
        <is>
          <t>Future.</t>
        </is>
      </c>
    </row>
    <row r="36" ht="27.75" customHeight="1" s="18">
      <c r="B36" s="23" t="inlineStr">
        <is>
          <t>STACK_LIGHT_RED</t>
        </is>
      </c>
      <c r="C36" s="22" t="n"/>
      <c r="D36" s="22" t="inlineStr">
        <is>
          <t>Indicator</t>
        </is>
      </c>
      <c r="E36" s="23" t="inlineStr">
        <is>
          <t>Red stack light</t>
        </is>
      </c>
      <c r="F36" s="23" t="inlineStr">
        <is>
          <t>Active-high assumed</t>
        </is>
      </c>
      <c r="G36" s="22" t="inlineStr">
        <is>
          <t>OUT</t>
        </is>
      </c>
      <c r="H36" s="22" t="inlineStr">
        <is>
          <t>7i84</t>
        </is>
      </c>
      <c r="I36" s="22" t="inlineStr">
        <is>
          <t>TB2</t>
        </is>
      </c>
      <c r="J36" s="22" t="inlineStr">
        <is>
          <t>Spare OUT</t>
        </is>
      </c>
      <c r="K36" s="22" t="inlineStr">
        <is>
          <t>stack-red</t>
        </is>
      </c>
      <c r="L36" s="23" t="inlineStr">
        <is>
          <t>Future stack light</t>
        </is>
      </c>
      <c r="M36" s="22" t="inlineStr">
        <is>
          <t>Optional</t>
        </is>
      </c>
      <c r="N36" s="22" t="inlineStr">
        <is>
          <t>Future.</t>
        </is>
      </c>
    </row>
  </sheetData>
  <autoFilter ref="B5:N36"/>
  <mergeCells count="1">
    <mergeCell ref="B2:N2"/>
  </mergeCells>
  <conditionalFormatting sqref="B6:Z36">
    <cfRule type="expression" rank="0" priority="2" equalAverage="0" aboveAverage="0" dxfId="7" text="" percent="0" bottom="0">
      <formula>$M6="Confirmed from notes"</formula>
    </cfRule>
    <cfRule type="expression" rank="0" priority="3" equalAverage="0" aboveAverage="0" dxfId="8" text="" percent="0" bottom="0">
      <formula>$M6="Inferred / likely"</formula>
    </cfRule>
    <cfRule type="expression" rank="0" priority="4" equalAverage="0" aboveAverage="0" dxfId="8" text="" percent="0" bottom="0">
      <formula>$M6="Verify in cabinet"</formula>
    </cfRule>
    <cfRule type="expression" rank="0" priority="5" equalAverage="0" aboveAverage="0" dxfId="8" text="" percent="0" bottom="0">
      <formula>$M6="Measure before buying"</formula>
    </cfRule>
    <cfRule type="expression" rank="0" priority="6" equalAverage="0" aboveAverage="0" dxfId="9" text="" percent="0" bottom="0">
      <formula>$M6="Optional"</formula>
    </cfRule>
  </conditionalFormatting>
  <dataValidations count="3">
    <dataValidation sqref="G6:G36" showDropDown="0" showInputMessage="0" showErrorMessage="0" allowBlank="1" type="list" errorStyle="stop" operator="between">
      <formula1>"IN,OUT,ANALOG OUT,ENCODER IN,POWER,LOGIC,MECHANICAL,USB,TBD"</formula1>
      <formula2>0</formula2>
    </dataValidation>
    <dataValidation sqref="H6:H36" showDropDown="0" showInputMessage="0" showErrorMessage="0" allowBlank="1" type="list" errorStyle="stop" operator="between">
      <formula1>"6i25,7i77,7i84,7i85/7i85S,LinuxCNC USB,Existing Mazak,HR-11F-24,DIN rail / panel,TBD"</formula1>
      <formula2>0</formula2>
    </dataValidation>
    <dataValidation sqref="M6:M36" showDropDown="0" showInputMessage="0" showErrorMessage="0" allowBlank="1" type="list" errorStyle="stop" operator="between">
      <formula1>"Confirmed from notes,Inferred / likely,Verify in cabinet,Measure before buying,Optional,TBD"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B2:K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17" min="1" max="1"/>
    <col width="42" customWidth="1" style="17" min="2" max="2"/>
    <col width="14.7" customWidth="1" style="17" min="3" max="3"/>
    <col width="21" customWidth="1" style="17" min="4" max="4"/>
    <col width="42" customWidth="1" style="17" min="5" max="5"/>
    <col width="39" customWidth="1" style="17" min="6" max="6"/>
    <col width="13.8" customWidth="1" style="17" min="7" max="7"/>
    <col width="18.29" customWidth="1" style="17" min="8" max="9"/>
    <col width="42" customWidth="1" style="17" min="10" max="11"/>
  </cols>
  <sheetData>
    <row r="1" ht="27.75" customHeight="1" s="18"/>
    <row r="2" ht="27.75" customHeight="1" s="18">
      <c r="B2" s="19" t="inlineStr">
        <is>
          <t>Analog Output and Encoder Channel Map</t>
        </is>
      </c>
    </row>
    <row r="3" ht="27.75" customHeight="1" s="18">
      <c r="B3" s="20" t="inlineStr">
        <is>
          <t>Channel-level view for motion feedback. Axis feedback is RESOLVER (Mesa 7i49), not encoder. Confirm winding pairs and scale in cabinet.</t>
        </is>
      </c>
    </row>
    <row r="4" ht="27.75" customHeight="1" s="18"/>
    <row r="5" ht="27.75" customHeight="1" s="18">
      <c r="B5" s="21" t="inlineStr">
        <is>
          <t>Channel</t>
        </is>
      </c>
      <c r="C5" s="21" t="inlineStr">
        <is>
          <t>Axis / Device</t>
        </is>
      </c>
      <c r="D5" s="21" t="inlineStr">
        <is>
          <t>Signal Type</t>
        </is>
      </c>
      <c r="E5" s="21" t="inlineStr">
        <is>
          <t>Signal Pair / Terminals</t>
        </is>
      </c>
      <c r="F5" s="21" t="inlineStr">
        <is>
          <t>Machine Origin / Destination</t>
        </is>
      </c>
      <c r="G5" s="21" t="inlineStr">
        <is>
          <t>Mesa Card</t>
        </is>
      </c>
      <c r="H5" s="21" t="inlineStr">
        <is>
          <t>LinuxCNC HAL Net</t>
        </is>
      </c>
      <c r="I5" s="21" t="inlineStr">
        <is>
          <t>Status</t>
        </is>
      </c>
      <c r="J5" s="21" t="inlineStr">
        <is>
          <t>Measurement Needed</t>
        </is>
      </c>
      <c r="K5" s="21" t="inlineStr">
        <is>
          <t>Notes</t>
        </is>
      </c>
    </row>
    <row r="6" ht="27.75" customHeight="1" s="18">
      <c r="B6" s="22" t="inlineStr">
        <is>
          <t>RES0</t>
        </is>
      </c>
      <c r="C6" s="22" t="inlineStr">
        <is>
          <t>X axis</t>
        </is>
      </c>
      <c r="D6" s="22" t="inlineStr">
        <is>
          <t>Resolver input</t>
        </is>
      </c>
      <c r="E6" s="23" t="inlineStr">
        <is>
          <t>RO1/RO2-&gt;RESDRV+/-, stator pairs-&gt;RESSIN/RESCOS</t>
        </is>
      </c>
      <c r="F6" s="23" t="inlineStr">
        <is>
          <t>X axis Tamagawa resolver</t>
        </is>
      </c>
      <c r="G6" s="22" t="inlineStr">
        <is>
          <t>7i49</t>
        </is>
      </c>
      <c r="H6" s="22" t="inlineStr">
        <is>
          <t>x-pos-fb</t>
        </is>
      </c>
      <c r="I6" s="23" t="inlineStr">
        <is>
          <t>Verify in cabinet</t>
        </is>
      </c>
      <c r="J6" s="23" t="inlineStr">
        <is>
          <t>Ohmmeter winding pairs before power; 5kHz excit.; scope ~1V RMS return on 2:1; model RT-5XA-11/L1</t>
        </is>
      </c>
      <c r="K6" s="23" t="inlineStr">
        <is>
          <t>Plain 7i49 baseline; 7i49HV only if signal far too weak.</t>
        </is>
      </c>
    </row>
    <row r="7" ht="27.75" customHeight="1" s="18">
      <c r="B7" s="22" t="inlineStr">
        <is>
          <t>RES1</t>
        </is>
      </c>
      <c r="C7" s="22" t="inlineStr">
        <is>
          <t>Y axis</t>
        </is>
      </c>
      <c r="D7" s="22" t="inlineStr">
        <is>
          <t>Resolver input</t>
        </is>
      </c>
      <c r="E7" s="23" t="inlineStr">
        <is>
          <t>RO1/RO2-&gt;RESDRV+/-, stator pairs-&gt;RESSIN/RESCOS</t>
        </is>
      </c>
      <c r="F7" s="23" t="inlineStr">
        <is>
          <t>Y axis Tamagawa resolver</t>
        </is>
      </c>
      <c r="G7" s="22" t="inlineStr">
        <is>
          <t>7i49</t>
        </is>
      </c>
      <c r="H7" s="22" t="inlineStr">
        <is>
          <t>y-pos-fb</t>
        </is>
      </c>
      <c r="I7" s="23" t="inlineStr">
        <is>
          <t>Verify in cabinet</t>
        </is>
      </c>
      <c r="J7" s="22" t="inlineStr">
        <is>
          <t>Same as X</t>
        </is>
      </c>
      <c r="K7" s="22" t="inlineStr">
        <is>
          <t>7i49 sole excitation source (TRA drives use tacho).</t>
        </is>
      </c>
    </row>
    <row r="8" ht="27.75" customHeight="1" s="18">
      <c r="B8" s="22" t="inlineStr">
        <is>
          <t>RES2</t>
        </is>
      </c>
      <c r="C8" s="22" t="inlineStr">
        <is>
          <t>Z axis</t>
        </is>
      </c>
      <c r="D8" s="22" t="inlineStr">
        <is>
          <t>Resolver input</t>
        </is>
      </c>
      <c r="E8" s="23" t="inlineStr">
        <is>
          <t>RO1/RO2-&gt;RESDRV+/-, stator pairs-&gt;RESSIN/RESCOS</t>
        </is>
      </c>
      <c r="F8" s="23" t="inlineStr">
        <is>
          <t>Z axis Tamagawa resolver</t>
        </is>
      </c>
      <c r="G8" s="22" t="inlineStr">
        <is>
          <t>7i49</t>
        </is>
      </c>
      <c r="H8" s="22" t="inlineStr">
        <is>
          <t>z-pos-fb</t>
        </is>
      </c>
      <c r="I8" s="23" t="inlineStr">
        <is>
          <t>Verify in cabinet</t>
        </is>
      </c>
      <c r="J8" s="23" t="inlineStr">
        <is>
          <t>Same as X; confirm Z brake/counterbalance deps</t>
        </is>
      </c>
      <c r="K8" s="22" t="inlineStr">
        <is>
          <t>MS3108B 20-29P is a connector shell, not a resolver model.</t>
        </is>
      </c>
    </row>
    <row r="9" ht="27.75" customHeight="1" s="18">
      <c r="B9" s="22" t="inlineStr">
        <is>
          <t>RES3</t>
        </is>
      </c>
      <c r="C9" s="22" t="inlineStr">
        <is>
          <t>Spindle</t>
        </is>
      </c>
      <c r="D9" s="23" t="inlineStr">
        <is>
          <t>Resolver/pickup input</t>
        </is>
      </c>
      <c r="E9" s="23" t="inlineStr">
        <is>
          <t>TBD: resolver vs pickup</t>
        </is>
      </c>
      <c r="F9" s="23" t="inlineStr">
        <is>
          <t>Spindle resolver or pickup</t>
        </is>
      </c>
      <c r="G9" s="22" t="inlineStr">
        <is>
          <t>7i49</t>
        </is>
      </c>
      <c r="H9" s="22" t="inlineStr">
        <is>
          <t>spindle-pos-fb</t>
        </is>
      </c>
      <c r="I9" s="23" t="inlineStr">
        <is>
          <t>Verify in cabinet</t>
        </is>
      </c>
      <c r="J9" s="23" t="inlineStr">
        <is>
          <t>Determine resolver vs one-pulse pickup vs encoder</t>
        </is>
      </c>
      <c r="K9" s="23" t="inlineStr">
        <is>
          <t>7i49 channel only if spindle is resolver-based.</t>
        </is>
      </c>
    </row>
    <row r="10" ht="27.75" customHeight="1" s="18">
      <c r="B10" s="22" t="inlineStr">
        <is>
          <t>ENC4</t>
        </is>
      </c>
      <c r="C10" s="22" t="inlineStr">
        <is>
          <t>Spare</t>
        </is>
      </c>
      <c r="D10" s="22" t="inlineStr">
        <is>
          <t>Encoder input</t>
        </is>
      </c>
      <c r="E10" s="22" t="inlineStr">
        <is>
          <t>TBD</t>
        </is>
      </c>
      <c r="F10" s="23" t="inlineStr">
        <is>
          <t>Future rotary / toolsetter / scale</t>
        </is>
      </c>
      <c r="G10" s="22" t="inlineStr">
        <is>
          <t>7i77 or 7i85</t>
        </is>
      </c>
      <c r="H10" s="22" t="inlineStr">
        <is>
          <t>spare-enc-4</t>
        </is>
      </c>
      <c r="I10" s="22" t="inlineStr">
        <is>
          <t>Optional</t>
        </is>
      </c>
      <c r="J10" s="22" t="inlineStr">
        <is>
          <t>TBD</t>
        </is>
      </c>
      <c r="K10" s="23" t="inlineStr">
        <is>
          <t>Reserve if using 7i85 expansion.</t>
        </is>
      </c>
    </row>
    <row r="11" ht="27.75" customHeight="1" s="18">
      <c r="B11" s="22" t="inlineStr">
        <is>
          <t>ENC5</t>
        </is>
      </c>
      <c r="C11" s="22" t="inlineStr">
        <is>
          <t>Spare</t>
        </is>
      </c>
      <c r="D11" s="22" t="inlineStr">
        <is>
          <t>Encoder input</t>
        </is>
      </c>
      <c r="E11" s="22" t="inlineStr">
        <is>
          <t>TBD</t>
        </is>
      </c>
      <c r="F11" s="23" t="inlineStr">
        <is>
          <t>Future rotary / handwheel</t>
        </is>
      </c>
      <c r="G11" s="22" t="inlineStr">
        <is>
          <t>7i77 or 7i85</t>
        </is>
      </c>
      <c r="H11" s="22" t="inlineStr">
        <is>
          <t>spare-enc-5</t>
        </is>
      </c>
      <c r="I11" s="22" t="inlineStr">
        <is>
          <t>Optional</t>
        </is>
      </c>
      <c r="J11" s="22" t="inlineStr">
        <is>
          <t>TBD</t>
        </is>
      </c>
      <c r="K11" s="22" t="n"/>
    </row>
    <row r="12" ht="27.75" customHeight="1" s="18">
      <c r="B12" s="22" t="inlineStr">
        <is>
          <t>AO0</t>
        </is>
      </c>
      <c r="C12" s="22" t="inlineStr">
        <is>
          <t>X axis</t>
        </is>
      </c>
      <c r="D12" s="22" t="inlineStr">
        <is>
          <t>Analog output</t>
        </is>
      </c>
      <c r="E12" s="23" t="inlineStr">
        <is>
          <t>±10 V command + analog common</t>
        </is>
      </c>
      <c r="F12" s="23" t="inlineStr">
        <is>
          <t>X servo drive command input</t>
        </is>
      </c>
      <c r="G12" s="22" t="inlineStr">
        <is>
          <t>7i77</t>
        </is>
      </c>
      <c r="H12" s="22" t="inlineStr">
        <is>
          <t>x-vel-cmd</t>
        </is>
      </c>
      <c r="I12" s="23" t="inlineStr">
        <is>
          <t>Inferred / likely</t>
        </is>
      </c>
      <c r="J12" s="23" t="inlineStr">
        <is>
          <t>Drive terminal labels, command scaling, polarity, common/isolation</t>
        </is>
      </c>
      <c r="K12" s="23" t="inlineStr">
        <is>
          <t>Start disabled; confirm zero offset.</t>
        </is>
      </c>
    </row>
    <row r="13" ht="27.75" customHeight="1" s="18">
      <c r="B13" s="22" t="inlineStr">
        <is>
          <t>AO1</t>
        </is>
      </c>
      <c r="C13" s="22" t="inlineStr">
        <is>
          <t>Y axis</t>
        </is>
      </c>
      <c r="D13" s="22" t="inlineStr">
        <is>
          <t>Analog output</t>
        </is>
      </c>
      <c r="E13" s="23" t="inlineStr">
        <is>
          <t>±10 V command + analog common</t>
        </is>
      </c>
      <c r="F13" s="23" t="inlineStr">
        <is>
          <t>Y servo drive command input</t>
        </is>
      </c>
      <c r="G13" s="22" t="inlineStr">
        <is>
          <t>7i77</t>
        </is>
      </c>
      <c r="H13" s="22" t="inlineStr">
        <is>
          <t>y-vel-cmd</t>
        </is>
      </c>
      <c r="I13" s="23" t="inlineStr">
        <is>
          <t>Inferred / likely</t>
        </is>
      </c>
      <c r="J13" s="22" t="inlineStr">
        <is>
          <t>Same as X</t>
        </is>
      </c>
      <c r="K13" s="22" t="n"/>
    </row>
    <row r="14" ht="27.75" customHeight="1" s="18">
      <c r="B14" s="22" t="inlineStr">
        <is>
          <t>AO2</t>
        </is>
      </c>
      <c r="C14" s="22" t="inlineStr">
        <is>
          <t>Z axis</t>
        </is>
      </c>
      <c r="D14" s="22" t="inlineStr">
        <is>
          <t>Analog output</t>
        </is>
      </c>
      <c r="E14" s="23" t="inlineStr">
        <is>
          <t>±10 V command + analog common</t>
        </is>
      </c>
      <c r="F14" s="23" t="inlineStr">
        <is>
          <t>Z servo drive command input</t>
        </is>
      </c>
      <c r="G14" s="22" t="inlineStr">
        <is>
          <t>7i77</t>
        </is>
      </c>
      <c r="H14" s="22" t="inlineStr">
        <is>
          <t>z-vel-cmd</t>
        </is>
      </c>
      <c r="I14" s="23" t="inlineStr">
        <is>
          <t>Inferred / likely</t>
        </is>
      </c>
      <c r="J14" s="23" t="inlineStr">
        <is>
          <t>Same as X plus brake/counterbalance logic</t>
        </is>
      </c>
      <c r="K14" s="22" t="n"/>
    </row>
    <row r="15" ht="27.75" customHeight="1" s="18">
      <c r="B15" s="22" t="inlineStr">
        <is>
          <t>AO3</t>
        </is>
      </c>
      <c r="C15" s="22" t="inlineStr">
        <is>
          <t>Spindle</t>
        </is>
      </c>
      <c r="D15" s="22" t="inlineStr">
        <is>
          <t>Analog output</t>
        </is>
      </c>
      <c r="E15" s="23" t="inlineStr">
        <is>
          <t>0-10 V or ±10 V speed ref + common</t>
        </is>
      </c>
      <c r="F15" s="23" t="inlineStr">
        <is>
          <t>FR-SX spindle controller speed reference</t>
        </is>
      </c>
      <c r="G15" s="22" t="inlineStr">
        <is>
          <t>7i77</t>
        </is>
      </c>
      <c r="H15" s="23" t="inlineStr">
        <is>
          <t>spindle-speed-cmd</t>
        </is>
      </c>
      <c r="I15" s="23" t="inlineStr">
        <is>
          <t>Verify in cabinet</t>
        </is>
      </c>
      <c r="J15" s="23" t="inlineStr">
        <is>
          <t>FR-SX command mode, analog range, direction mode, common reference</t>
        </is>
      </c>
      <c r="K15" s="23" t="inlineStr">
        <is>
          <t>Use low RPM test after verifying run/enable wiring.</t>
        </is>
      </c>
    </row>
    <row r="16" ht="27.75" customHeight="1" s="18">
      <c r="B16" s="22" t="inlineStr">
        <is>
          <t>AO4</t>
        </is>
      </c>
      <c r="C16" s="22" t="inlineStr">
        <is>
          <t>Spare</t>
        </is>
      </c>
      <c r="D16" s="22" t="inlineStr">
        <is>
          <t>Analog output</t>
        </is>
      </c>
      <c r="E16" s="22" t="inlineStr">
        <is>
          <t>±10 V</t>
        </is>
      </c>
      <c r="F16" s="23" t="inlineStr">
        <is>
          <t>Future 4th axis or auxiliary</t>
        </is>
      </c>
      <c r="G16" s="22" t="inlineStr">
        <is>
          <t>7i77</t>
        </is>
      </c>
      <c r="H16" s="22" t="inlineStr">
        <is>
          <t>spare-ao4</t>
        </is>
      </c>
      <c r="I16" s="22" t="inlineStr">
        <is>
          <t>Optional</t>
        </is>
      </c>
      <c r="J16" s="22" t="inlineStr">
        <is>
          <t>N/A</t>
        </is>
      </c>
      <c r="K16" s="22" t="n"/>
    </row>
    <row r="17" ht="27.75" customHeight="1" s="18">
      <c r="B17" s="22" t="inlineStr">
        <is>
          <t>AO5</t>
        </is>
      </c>
      <c r="C17" s="22" t="inlineStr">
        <is>
          <t>Spare</t>
        </is>
      </c>
      <c r="D17" s="22" t="inlineStr">
        <is>
          <t>Analog output</t>
        </is>
      </c>
      <c r="E17" s="22" t="inlineStr">
        <is>
          <t>±10 V</t>
        </is>
      </c>
      <c r="F17" s="22" t="inlineStr">
        <is>
          <t>Future use</t>
        </is>
      </c>
      <c r="G17" s="22" t="inlineStr">
        <is>
          <t>7i77</t>
        </is>
      </c>
      <c r="H17" s="22" t="inlineStr">
        <is>
          <t>spare-ao5</t>
        </is>
      </c>
      <c r="I17" s="22" t="inlineStr">
        <is>
          <t>Optional</t>
        </is>
      </c>
      <c r="J17" s="22" t="inlineStr">
        <is>
          <t>N/A</t>
        </is>
      </c>
      <c r="K17" s="22" t="n"/>
    </row>
  </sheetData>
  <autoFilter ref="B5:K17"/>
  <mergeCells count="1">
    <mergeCell ref="B2:K2"/>
  </mergeCells>
  <conditionalFormatting sqref="B6:Z17">
    <cfRule type="expression" rank="0" priority="2" equalAverage="0" aboveAverage="0" dxfId="7" text="" percent="0" bottom="0">
      <formula>$I6="Confirmed from notes"</formula>
    </cfRule>
    <cfRule type="expression" rank="0" priority="3" equalAverage="0" aboveAverage="0" dxfId="8" text="" percent="0" bottom="0">
      <formula>$I6="Inferred / likely"</formula>
    </cfRule>
    <cfRule type="expression" rank="0" priority="4" equalAverage="0" aboveAverage="0" dxfId="8" text="" percent="0" bottom="0">
      <formula>$I6="Verify in cabinet"</formula>
    </cfRule>
    <cfRule type="expression" rank="0" priority="5" equalAverage="0" aboveAverage="0" dxfId="8" text="" percent="0" bottom="0">
      <formula>$I6="Measure before buying"</formula>
    </cfRule>
    <cfRule type="expression" rank="0" priority="6" equalAverage="0" aboveAverage="0" dxfId="9" text="" percent="0" bottom="0">
      <formula>$I6="Optional"</formula>
    </cfRule>
  </conditionalFormatting>
  <dataValidations count="1">
    <dataValidation sqref="I6:I17" showDropDown="0" showInputMessage="0" showErrorMessage="0" allowBlank="1" type="list" errorStyle="stop" operator="between">
      <formula1>"Confirmed from notes,Inferred / likely,Verify in cabinet,Measure before buying,Optional,TBD"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1"/>
  </sheetPr>
  <dimension ref="B2:J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17" min="1" max="1"/>
    <col width="44" customWidth="1" style="17" min="2" max="2"/>
    <col width="21" customWidth="1" style="17" min="3" max="3"/>
    <col width="43.52" customWidth="1" style="17" min="4" max="4"/>
    <col width="23.7" customWidth="1" style="17" min="5" max="5"/>
    <col width="29.1" customWidth="1" style="17" min="6" max="6"/>
    <col width="39" customWidth="1" style="17" min="7" max="7"/>
    <col width="33.6" customWidth="1" style="17" min="8" max="8"/>
    <col width="21" customWidth="1" style="17" min="9" max="9"/>
    <col width="44" customWidth="1" style="17" min="10" max="10"/>
  </cols>
  <sheetData>
    <row r="1" ht="27.75" customHeight="1" s="18"/>
    <row r="2" ht="27.75" customHeight="1" s="18">
      <c r="B2" s="19" t="inlineStr">
        <is>
          <t>24 VDC Supply and Cabinet Terminal Notes</t>
        </is>
      </c>
    </row>
    <row r="3" ht="27.75" customHeight="1" s="18">
      <c r="B3" s="20" t="inlineStr">
        <is>
          <t>Photo-based extraction around the Nemic-Lambda HR-11F-24 and Mazak P24/G24 distribution. Trace wire numbers before disconnecting anything.</t>
        </is>
      </c>
    </row>
    <row r="4" ht="27.75" customHeight="1" s="18"/>
    <row r="5" ht="27.75" customHeight="1" s="18">
      <c r="B5" s="21" t="inlineStr">
        <is>
          <t>Terminal / Label</t>
        </is>
      </c>
      <c r="C5" s="21" t="inlineStr">
        <is>
          <t>Device / Strip</t>
        </is>
      </c>
      <c r="D5" s="21" t="inlineStr">
        <is>
          <t>Function</t>
        </is>
      </c>
      <c r="E5" s="21" t="inlineStr">
        <is>
          <t>Expected Voltage / Type</t>
        </is>
      </c>
      <c r="F5" s="21" t="inlineStr">
        <is>
          <t>From</t>
        </is>
      </c>
      <c r="G5" s="21" t="inlineStr">
        <is>
          <t>To</t>
        </is>
      </c>
      <c r="H5" s="21" t="inlineStr">
        <is>
          <t>Do / Do Not</t>
        </is>
      </c>
      <c r="I5" s="21" t="inlineStr">
        <is>
          <t>Status</t>
        </is>
      </c>
      <c r="J5" s="21" t="inlineStr">
        <is>
          <t>Notes</t>
        </is>
      </c>
    </row>
    <row r="6" ht="27.75" customHeight="1" s="18">
      <c r="B6" s="22" t="inlineStr">
        <is>
          <t>+S</t>
        </is>
      </c>
      <c r="C6" s="22" t="inlineStr">
        <is>
          <t>HR-11F-24 PSU</t>
        </is>
      </c>
      <c r="D6" s="23" t="inlineStr">
        <is>
          <t>Remote sense plus</t>
        </is>
      </c>
      <c r="E6" s="22" t="inlineStr">
        <is>
          <t>Sense +24 V</t>
        </is>
      </c>
      <c r="F6" s="23" t="inlineStr">
        <is>
          <t>PSU sense terminal</t>
        </is>
      </c>
      <c r="G6" s="23" t="inlineStr">
        <is>
          <t>P24 bus or jumpered to +</t>
        </is>
      </c>
      <c r="H6" s="23" t="inlineStr">
        <is>
          <t>Do not remove until traced</t>
        </is>
      </c>
      <c r="I6" s="23" t="inlineStr">
        <is>
          <t>Verify in cabinet</t>
        </is>
      </c>
      <c r="J6" s="23" t="inlineStr">
        <is>
          <t>Often small-gauge wire paired with +24 bus.</t>
        </is>
      </c>
    </row>
    <row r="7" ht="27.75" customHeight="1" s="18">
      <c r="B7" s="22" t="inlineStr">
        <is>
          <t>+</t>
        </is>
      </c>
      <c r="C7" s="22" t="inlineStr">
        <is>
          <t>HR-11F-24 PSU</t>
        </is>
      </c>
      <c r="D7" s="23" t="inlineStr">
        <is>
          <t>Main +24 VDC output</t>
        </is>
      </c>
      <c r="E7" s="22" t="inlineStr">
        <is>
          <t>+24 VDC</t>
        </is>
      </c>
      <c r="F7" s="22" t="inlineStr">
        <is>
          <t>PSU</t>
        </is>
      </c>
      <c r="G7" s="23" t="inlineStr">
        <is>
          <t>P24 / +24V cabinet distribution</t>
        </is>
      </c>
      <c r="H7" s="23" t="inlineStr">
        <is>
          <t>Keep or upgrade with proper fusing</t>
        </is>
      </c>
      <c r="I7" s="23" t="inlineStr">
        <is>
          <t>Confirmed from notes</t>
        </is>
      </c>
      <c r="J7" s="23" t="inlineStr">
        <is>
          <t>Existing supply is 24 VDC 5 A; check load if adding Mesa/relays.</t>
        </is>
      </c>
    </row>
    <row r="8" ht="27.75" customHeight="1" s="18">
      <c r="B8" s="22" t="inlineStr">
        <is>
          <t>-</t>
        </is>
      </c>
      <c r="C8" s="22" t="inlineStr">
        <is>
          <t>HR-11F-24 PSU</t>
        </is>
      </c>
      <c r="D8" s="23" t="inlineStr">
        <is>
          <t>Main 0 VDC return</t>
        </is>
      </c>
      <c r="E8" s="22" t="inlineStr">
        <is>
          <t>0 VDC / G24</t>
        </is>
      </c>
      <c r="F8" s="22" t="inlineStr">
        <is>
          <t>PSU</t>
        </is>
      </c>
      <c r="G8" s="23" t="inlineStr">
        <is>
          <t>G24 cabinet common</t>
        </is>
      </c>
      <c r="H8" s="23" t="inlineStr">
        <is>
          <t>Keep common reference stable</t>
        </is>
      </c>
      <c r="I8" s="23" t="inlineStr">
        <is>
          <t>Confirmed from notes</t>
        </is>
      </c>
      <c r="J8" s="23" t="inlineStr">
        <is>
          <t>Avoid creating new return loops.</t>
        </is>
      </c>
    </row>
    <row r="9" ht="27.75" customHeight="1" s="18">
      <c r="B9" s="22" t="inlineStr">
        <is>
          <t>-S</t>
        </is>
      </c>
      <c r="C9" s="22" t="inlineStr">
        <is>
          <t>HR-11F-24 PSU</t>
        </is>
      </c>
      <c r="D9" s="23" t="inlineStr">
        <is>
          <t>Remote sense minus</t>
        </is>
      </c>
      <c r="E9" s="22" t="inlineStr">
        <is>
          <t>Sense 0 V</t>
        </is>
      </c>
      <c r="F9" s="23" t="inlineStr">
        <is>
          <t>PSU sense terminal</t>
        </is>
      </c>
      <c r="G9" s="23" t="inlineStr">
        <is>
          <t>G24 bus or jumpered to -</t>
        </is>
      </c>
      <c r="H9" s="23" t="inlineStr">
        <is>
          <t>Do not remove until traced</t>
        </is>
      </c>
      <c r="I9" s="23" t="inlineStr">
        <is>
          <t>Verify in cabinet</t>
        </is>
      </c>
      <c r="J9" s="22" t="n"/>
    </row>
    <row r="10" ht="27.75" customHeight="1" s="18">
      <c r="B10" s="22" t="inlineStr">
        <is>
          <t>TOG</t>
        </is>
      </c>
      <c r="C10" s="22" t="inlineStr">
        <is>
          <t>HR-11F-24 PSU</t>
        </is>
      </c>
      <c r="D10" s="23" t="inlineStr">
        <is>
          <t>Remote on/off or inhibit input</t>
        </is>
      </c>
      <c r="E10" s="23" t="inlineStr">
        <is>
          <t>Control logic TBD</t>
        </is>
      </c>
      <c r="F10" s="23" t="inlineStr">
        <is>
          <t>Original Mazak relay/chain</t>
        </is>
      </c>
      <c r="G10" s="22" t="inlineStr">
        <is>
          <t>PSU control</t>
        </is>
      </c>
      <c r="H10" s="23" t="inlineStr">
        <is>
          <t>Trace before changing</t>
        </is>
      </c>
      <c r="I10" s="23" t="inlineStr">
        <is>
          <t>Verify in cabinet</t>
        </is>
      </c>
      <c r="J10" s="23" t="inlineStr">
        <is>
          <t>May be involved in NC/estop enable of 24 V bus.</t>
        </is>
      </c>
    </row>
    <row r="11" ht="27.75" customHeight="1" s="18">
      <c r="B11" s="22" t="inlineStr">
        <is>
          <t>CNT</t>
        </is>
      </c>
      <c r="C11" s="22" t="inlineStr">
        <is>
          <t>HR-11F-24 PSU</t>
        </is>
      </c>
      <c r="D11" s="23" t="inlineStr">
        <is>
          <t>Control companion/return for TOG</t>
        </is>
      </c>
      <c r="E11" s="23" t="inlineStr">
        <is>
          <t>Control logic TBD</t>
        </is>
      </c>
      <c r="F11" s="23" t="inlineStr">
        <is>
          <t>Original Mazak relay/chain</t>
        </is>
      </c>
      <c r="G11" s="22" t="inlineStr">
        <is>
          <t>PSU control</t>
        </is>
      </c>
      <c r="H11" s="23" t="inlineStr">
        <is>
          <t>Trace before changing</t>
        </is>
      </c>
      <c r="I11" s="23" t="inlineStr">
        <is>
          <t>Verify in cabinet</t>
        </is>
      </c>
      <c r="J11" s="22" t="n"/>
    </row>
    <row r="12" ht="27.75" customHeight="1" s="18">
      <c r="B12" s="22" t="inlineStr">
        <is>
          <t>FG</t>
        </is>
      </c>
      <c r="C12" s="22" t="inlineStr">
        <is>
          <t>HR-11F-24 PSU</t>
        </is>
      </c>
      <c r="D12" s="22" t="inlineStr">
        <is>
          <t>Frame ground</t>
        </is>
      </c>
      <c r="E12" s="23" t="inlineStr">
        <is>
          <t>Protective earth</t>
        </is>
      </c>
      <c r="F12" s="22" t="inlineStr">
        <is>
          <t>PSU chassis</t>
        </is>
      </c>
      <c r="G12" s="22" t="inlineStr">
        <is>
          <t>Cabinet PE bar</t>
        </is>
      </c>
      <c r="H12" s="22" t="inlineStr">
        <is>
          <t>Bond to PE</t>
        </is>
      </c>
      <c r="I12" s="23" t="inlineStr">
        <is>
          <t>Confirmed from notes</t>
        </is>
      </c>
      <c r="J12" s="22" t="n"/>
    </row>
    <row r="13" ht="27.75" customHeight="1" s="18">
      <c r="B13" s="22" t="inlineStr">
        <is>
          <t>L</t>
        </is>
      </c>
      <c r="C13" s="22" t="inlineStr">
        <is>
          <t>HR-11F-24 PSU</t>
        </is>
      </c>
      <c r="D13" s="22" t="inlineStr">
        <is>
          <t>AC line input</t>
        </is>
      </c>
      <c r="E13" s="22" t="inlineStr">
        <is>
          <t>100-120 VAC</t>
        </is>
      </c>
      <c r="F13" s="23" t="inlineStr">
        <is>
          <t>Control transformer secondary</t>
        </is>
      </c>
      <c r="G13" s="22" t="inlineStr">
        <is>
          <t>PSU AC input</t>
        </is>
      </c>
      <c r="H13" s="23" t="inlineStr">
        <is>
          <t>Do not re-tap without meter/manual</t>
        </is>
      </c>
      <c r="I13" s="23" t="inlineStr">
        <is>
          <t>Confirmed from notes</t>
        </is>
      </c>
      <c r="J13" s="22" t="n"/>
    </row>
    <row r="14" ht="27.75" customHeight="1" s="18">
      <c r="B14" s="22" t="inlineStr">
        <is>
          <t>N</t>
        </is>
      </c>
      <c r="C14" s="22" t="inlineStr">
        <is>
          <t>HR-11F-24 PSU</t>
        </is>
      </c>
      <c r="D14" s="23" t="inlineStr">
        <is>
          <t>AC neutral/other input leg</t>
        </is>
      </c>
      <c r="E14" s="23" t="inlineStr">
        <is>
          <t>100-120 VAC return</t>
        </is>
      </c>
      <c r="F14" s="23" t="inlineStr">
        <is>
          <t>Control transformer secondary</t>
        </is>
      </c>
      <c r="G14" s="22" t="inlineStr">
        <is>
          <t>PSU AC input</t>
        </is>
      </c>
      <c r="H14" s="23" t="inlineStr">
        <is>
          <t>Do not disturb until labeled</t>
        </is>
      </c>
      <c r="I14" s="23" t="inlineStr">
        <is>
          <t>Confirmed from notes</t>
        </is>
      </c>
      <c r="J14" s="22" t="n"/>
    </row>
    <row r="15" ht="27.75" customHeight="1" s="18">
      <c r="B15" s="22" t="inlineStr">
        <is>
          <t>P24</t>
        </is>
      </c>
      <c r="C15" s="23" t="inlineStr">
        <is>
          <t>Mazak terminal strip</t>
        </is>
      </c>
      <c r="D15" s="23" t="inlineStr">
        <is>
          <t>+24 VDC distribution node</t>
        </is>
      </c>
      <c r="E15" s="22" t="inlineStr">
        <is>
          <t>+24 VDC</t>
        </is>
      </c>
      <c r="F15" s="23" t="inlineStr">
        <is>
          <t>HR-11F-24 + output</t>
        </is>
      </c>
      <c r="G15" s="23" t="inlineStr">
        <is>
          <t>I/O sensors, relay coils, control wiring</t>
        </is>
      </c>
      <c r="H15" s="23" t="inlineStr">
        <is>
          <t>Document every jumper/wire number</t>
        </is>
      </c>
      <c r="I15" s="23" t="inlineStr">
        <is>
          <t>Confirmed from notes</t>
        </is>
      </c>
      <c r="J15" s="23" t="inlineStr">
        <is>
          <t>Photo labels included P24, +24V.</t>
        </is>
      </c>
    </row>
    <row r="16" ht="27.75" customHeight="1" s="18">
      <c r="B16" s="22" t="inlineStr">
        <is>
          <t>G24</t>
        </is>
      </c>
      <c r="C16" s="23" t="inlineStr">
        <is>
          <t>Mazak terminal strip</t>
        </is>
      </c>
      <c r="D16" s="23" t="inlineStr">
        <is>
          <t>24 VDC common/return distribution</t>
        </is>
      </c>
      <c r="E16" s="22" t="inlineStr">
        <is>
          <t>0 VDC</t>
        </is>
      </c>
      <c r="F16" s="23" t="inlineStr">
        <is>
          <t>HR-11F-24 - output</t>
        </is>
      </c>
      <c r="G16" s="23" t="inlineStr">
        <is>
          <t>I/O returns/common</t>
        </is>
      </c>
      <c r="H16" s="23" t="inlineStr">
        <is>
          <t>Document common jumpers</t>
        </is>
      </c>
      <c r="I16" s="23" t="inlineStr">
        <is>
          <t>Confirmed from notes</t>
        </is>
      </c>
      <c r="J16" s="22" t="n"/>
    </row>
    <row r="17" ht="27.75" customHeight="1" s="18">
      <c r="B17" s="22" t="inlineStr">
        <is>
          <t>INHRLS</t>
        </is>
      </c>
      <c r="C17" s="23" t="inlineStr">
        <is>
          <t>Mazak terminal strip</t>
        </is>
      </c>
      <c r="D17" s="23" t="inlineStr">
        <is>
          <t>Field input label seen in photo; function TBD</t>
        </is>
      </c>
      <c r="E17" s="22" t="inlineStr">
        <is>
          <t>24 V input TBD</t>
        </is>
      </c>
      <c r="F17" s="23" t="inlineStr">
        <is>
          <t>Field device TBD</t>
        </is>
      </c>
      <c r="G17" s="23" t="inlineStr">
        <is>
          <t>Old Mazatrol I/O / new Mesa input TBD</t>
        </is>
      </c>
      <c r="H17" s="23" t="inlineStr">
        <is>
          <t>Trace before assigning</t>
        </is>
      </c>
      <c r="I17" s="23" t="inlineStr">
        <is>
          <t>Verify in cabinet</t>
        </is>
      </c>
      <c r="J17" s="23" t="inlineStr">
        <is>
          <t>Add wire number, source, and normal state when measured.</t>
        </is>
      </c>
    </row>
    <row r="18" ht="27.75" customHeight="1" s="18">
      <c r="B18" s="22" t="inlineStr">
        <is>
          <t>DEC2</t>
        </is>
      </c>
      <c r="C18" s="23" t="inlineStr">
        <is>
          <t>Mazak terminal strip</t>
        </is>
      </c>
      <c r="D18" s="23" t="inlineStr">
        <is>
          <t>Signal label seen in photo; function TBD</t>
        </is>
      </c>
      <c r="E18" s="22" t="inlineStr">
        <is>
          <t>TBD</t>
        </is>
      </c>
      <c r="F18" s="23" t="inlineStr">
        <is>
          <t>Field device or old I/O TBD</t>
        </is>
      </c>
      <c r="G18" s="22" t="inlineStr">
        <is>
          <t>Mesa I/O TBD</t>
        </is>
      </c>
      <c r="H18" s="23" t="inlineStr">
        <is>
          <t>Trace before assigning</t>
        </is>
      </c>
      <c r="I18" s="23" t="inlineStr">
        <is>
          <t>Verify in cabinet</t>
        </is>
      </c>
      <c r="J18" s="23" t="inlineStr">
        <is>
          <t>Could be decel/return-related; do not assume.</t>
        </is>
      </c>
    </row>
    <row r="19" ht="27.75" customHeight="1" s="18">
      <c r="B19" s="22" t="inlineStr">
        <is>
          <t>CH4</t>
        </is>
      </c>
      <c r="C19" s="23" t="inlineStr">
        <is>
          <t>Mazak terminal strip</t>
        </is>
      </c>
      <c r="D19" s="23" t="inlineStr">
        <is>
          <t>Signal label seen in photo; function TBD</t>
        </is>
      </c>
      <c r="E19" s="22" t="inlineStr">
        <is>
          <t>TBD</t>
        </is>
      </c>
      <c r="F19" s="23" t="inlineStr">
        <is>
          <t>Field device or old I/O TBD</t>
        </is>
      </c>
      <c r="G19" s="22" t="inlineStr">
        <is>
          <t>Mesa I/O TBD</t>
        </is>
      </c>
      <c r="H19" s="23" t="inlineStr">
        <is>
          <t>Trace before assigning</t>
        </is>
      </c>
      <c r="I19" s="23" t="inlineStr">
        <is>
          <t>Verify in cabinet</t>
        </is>
      </c>
      <c r="J19" s="22" t="n"/>
    </row>
  </sheetData>
  <autoFilter ref="B5:J19"/>
  <mergeCells count="1">
    <mergeCell ref="B2:J2"/>
  </mergeCells>
  <conditionalFormatting sqref="B6:Z19">
    <cfRule type="expression" rank="0" priority="2" equalAverage="0" aboveAverage="0" dxfId="7" text="" percent="0" bottom="0">
      <formula>$I6="Confirmed from notes"</formula>
    </cfRule>
    <cfRule type="expression" rank="0" priority="3" equalAverage="0" aboveAverage="0" dxfId="8" text="" percent="0" bottom="0">
      <formula>$I6="Inferred / likely"</formula>
    </cfRule>
    <cfRule type="expression" rank="0" priority="4" equalAverage="0" aboveAverage="0" dxfId="8" text="" percent="0" bottom="0">
      <formula>$I6="Verify in cabinet"</formula>
    </cfRule>
    <cfRule type="expression" rank="0" priority="5" equalAverage="0" aboveAverage="0" dxfId="8" text="" percent="0" bottom="0">
      <formula>$I6="Measure before buying"</formula>
    </cfRule>
    <cfRule type="expression" rank="0" priority="6" equalAverage="0" aboveAverage="0" dxfId="9" text="" percent="0" bottom="0">
      <formula>$I6="Optional"</formula>
    </cfRule>
  </conditionalFormatting>
  <dataValidations count="1">
    <dataValidation sqref="I6:I19" showDropDown="0" showInputMessage="0" showErrorMessage="0" allowBlank="1" type="list" errorStyle="stop" operator="between">
      <formula1>"Confirmed from notes,Inferred / likely,Verify in cabinet,Measure before buying,Optional,TBD"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1"/>
  </sheetPr>
  <dimension ref="B2:J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17" min="1" max="1"/>
    <col width="42" customWidth="1" style="17" min="2" max="3"/>
    <col width="15.6" customWidth="1" style="17" min="4" max="4"/>
    <col width="22.8" customWidth="1" style="17" min="5" max="5"/>
    <col width="42" customWidth="1" style="17" min="6" max="7"/>
    <col width="41.7" customWidth="1" style="17" min="8" max="8"/>
    <col width="21.9" customWidth="1" style="17" min="9" max="9"/>
    <col width="42" customWidth="1" style="17" min="10" max="10"/>
  </cols>
  <sheetData>
    <row r="1" ht="27.75" customHeight="1" s="18"/>
    <row r="2" ht="27.75" customHeight="1" s="18">
      <c r="B2" s="19" t="inlineStr">
        <is>
          <t>Draft Parts List for Buying and Cabinet Planning</t>
        </is>
      </c>
    </row>
    <row r="3" ht="27.75" customHeight="1" s="18">
      <c r="B3" s="20" t="inlineStr">
        <is>
          <t>Draft only. Quantities and exact Mesa card variants should be confirmed against current availability, actual drive signal type, I/O count, connector style, and cabinet space before ordering.</t>
        </is>
      </c>
    </row>
    <row r="4" ht="27.75" customHeight="1" s="18"/>
    <row r="5" ht="27.75" customHeight="1" s="18">
      <c r="B5" s="21" t="inlineStr">
        <is>
          <t>Category</t>
        </is>
      </c>
      <c r="C5" s="21" t="inlineStr">
        <is>
          <t>Part / Description</t>
        </is>
      </c>
      <c r="D5" s="21" t="inlineStr">
        <is>
          <t>Suggested Qty</t>
        </is>
      </c>
      <c r="E5" s="21" t="inlineStr">
        <is>
          <t>Buy Priority</t>
        </is>
      </c>
      <c r="F5" s="21" t="inlineStr">
        <is>
          <t>Purpose</t>
        </is>
      </c>
      <c r="G5" s="21" t="inlineStr">
        <is>
          <t>Depends On / Verify First</t>
        </is>
      </c>
      <c r="H5" s="21" t="inlineStr">
        <is>
          <t>Cabinet Location</t>
        </is>
      </c>
      <c r="I5" s="21" t="inlineStr">
        <is>
          <t>Status</t>
        </is>
      </c>
      <c r="J5" s="21" t="inlineStr">
        <is>
          <t>Notes</t>
        </is>
      </c>
    </row>
    <row r="6" ht="27.75" customHeight="1" s="18">
      <c r="B6" s="22" t="inlineStr">
        <is>
          <t>Motion control</t>
        </is>
      </c>
      <c r="C6" s="23" t="inlineStr">
        <is>
          <t>Mesa 6i25 PCIe host card or current equivalent with compatible firmware</t>
        </is>
      </c>
      <c r="D6" s="22" t="n">
        <v>1</v>
      </c>
      <c r="E6" s="23" t="inlineStr">
        <is>
          <t>Buy after verification</t>
        </is>
      </c>
      <c r="F6" s="23" t="inlineStr">
        <is>
          <t>PCIe FPGA interface from tower PC to Mesa daughtercards</t>
        </is>
      </c>
      <c r="G6" s="23" t="inlineStr">
        <is>
          <t>Confirm PC PCIe slot, current Mesa availability, 7i77/7i84 compatibility</t>
        </is>
      </c>
      <c r="H6" s="23" t="inlineStr">
        <is>
          <t>Tower PC in former Mazatrol rack bay</t>
        </is>
      </c>
      <c r="I6" s="23" t="inlineStr">
        <is>
          <t>Selected architecture</t>
        </is>
      </c>
      <c r="J6" s="23" t="inlineStr">
        <is>
          <t>Selected PCIe/cabinet architecture. Confirm exact current host card and firmware before ordering/flashing.</t>
        </is>
      </c>
    </row>
    <row r="7" ht="27.75" customHeight="1" s="18">
      <c r="B7" s="22" t="inlineStr">
        <is>
          <t>Motion control</t>
        </is>
      </c>
      <c r="C7" s="23" t="inlineStr">
        <is>
          <t>Mesa 7i77 analog servo + encoder + 24 V I/O card</t>
        </is>
      </c>
      <c r="D7" s="22" t="n">
        <v>1</v>
      </c>
      <c r="E7" s="23" t="inlineStr">
        <is>
          <t>Buy after verification</t>
        </is>
      </c>
      <c r="F7" s="23" t="inlineStr">
        <is>
          <t>3 axis analog servo commands, spindle analog speed, encoder feedback, core I/O</t>
        </is>
      </c>
      <c r="G7" s="23" t="inlineStr">
        <is>
          <t>Confirm axis drives accept analog ±10 V and encoders are compatible</t>
        </is>
      </c>
      <c r="H7" s="23" t="inlineStr">
        <is>
          <t>DIN rail / panel near drives and PC</t>
        </is>
      </c>
      <c r="I7" s="23" t="inlineStr">
        <is>
          <t>Selected architecture</t>
        </is>
      </c>
      <c r="J7" s="23" t="inlineStr">
        <is>
          <t>7i77 has enough analog/encoder channels for X/Y/Z + spindle.</t>
        </is>
      </c>
    </row>
    <row r="8" ht="27.75" customHeight="1" s="18">
      <c r="B8" s="22" t="inlineStr">
        <is>
          <t>Field I/O</t>
        </is>
      </c>
      <c r="C8" s="23" t="inlineStr">
        <is>
          <t>Mesa 7i84 remote 24 V digital I/O card or equivalent</t>
        </is>
      </c>
      <c r="D8" s="22" t="n">
        <v>1</v>
      </c>
      <c r="E8" s="23" t="inlineStr">
        <is>
          <t>Buy after verification</t>
        </is>
      </c>
      <c r="F8" s="23" t="inlineStr">
        <is>
          <t>ATC, hydraulic, coolant, air blast, utility I/O near breakout board</t>
        </is>
      </c>
      <c r="G8" s="23" t="inlineStr">
        <is>
          <t>Count actual inputs/outputs and coil current requirements</t>
        </is>
      </c>
      <c r="H8" s="23" t="inlineStr">
        <is>
          <t>Near green YM VQC-20-40/50 breakout PCB</t>
        </is>
      </c>
      <c r="I8" s="23" t="inlineStr">
        <is>
          <t>Selected architecture</t>
        </is>
      </c>
      <c r="J8" s="23" t="inlineStr">
        <is>
          <t>May need second 7i84 or 7i70/7i71 if I/O count grows.</t>
        </is>
      </c>
    </row>
    <row r="9" ht="27.75" customHeight="1" s="18">
      <c r="B9" s="22" t="inlineStr">
        <is>
          <t>Expansion</t>
        </is>
      </c>
      <c r="C9" s="23" t="inlineStr">
        <is>
          <t>Mesa 7i85 or 7i85S expansion card</t>
        </is>
      </c>
      <c r="D9" s="22" t="n">
        <v>1</v>
      </c>
      <c r="E9" s="22" t="inlineStr">
        <is>
          <t>Optional</t>
        </is>
      </c>
      <c r="F9" s="23" t="inlineStr">
        <is>
          <t>Extra encoders / future stepgen / 4th axis / handwheel</t>
        </is>
      </c>
      <c r="G9" s="23" t="inlineStr">
        <is>
          <t>Need for extra encoder channels beyond 7i77</t>
        </is>
      </c>
      <c r="H9" s="23" t="inlineStr">
        <is>
          <t>Near 7i77 / second 6i25 connector</t>
        </is>
      </c>
      <c r="I9" s="22" t="inlineStr">
        <is>
          <t>Optional</t>
        </is>
      </c>
      <c r="J9" s="23" t="inlineStr">
        <is>
          <t>Not required for base 3-axis + spindle if 7i77 channels suffice.</t>
        </is>
      </c>
    </row>
    <row r="10" ht="27.75" customHeight="1" s="18">
      <c r="B10" s="22" t="inlineStr">
        <is>
          <t>Pendant</t>
        </is>
      </c>
      <c r="C10" s="23" t="inlineStr">
        <is>
          <t>WHB04B-style wireless USB LinuxCNC pendant</t>
        </is>
      </c>
      <c r="D10" s="22" t="n">
        <v>1</v>
      </c>
      <c r="E10" s="22" t="inlineStr">
        <is>
          <t>Optional</t>
        </is>
      </c>
      <c r="F10" s="23" t="inlineStr">
        <is>
          <t>Jog, overrides, start/stop/home through LinuxCNC HAL</t>
        </is>
      </c>
      <c r="G10" s="23" t="inlineStr">
        <is>
          <t>Driver support for exact model/firmware</t>
        </is>
      </c>
      <c r="H10" s="23" t="inlineStr">
        <is>
          <t>USB receiver on extension near cabinet door</t>
        </is>
      </c>
      <c r="I10" s="22" t="inlineStr">
        <is>
          <t>Optional</t>
        </is>
      </c>
      <c r="J10" s="23" t="inlineStr">
        <is>
          <t>No Mesa I/O required.</t>
        </is>
      </c>
    </row>
    <row r="11" ht="27.75" customHeight="1" s="18">
      <c r="B11" s="22" t="inlineStr">
        <is>
          <t>Power</t>
        </is>
      </c>
      <c r="C11" s="23" t="inlineStr">
        <is>
          <t>24 VDC power supply, existing HR-11F-24 or new supply if load margin is insufficient</t>
        </is>
      </c>
      <c r="D11" s="22" t="n">
        <v>1</v>
      </c>
      <c r="E11" s="23" t="inlineStr">
        <is>
          <t>Buy after verification</t>
        </is>
      </c>
      <c r="F11" s="23" t="inlineStr">
        <is>
          <t>Mesa field I/O, relay coils, sensors, control logic</t>
        </is>
      </c>
      <c r="G11" s="23" t="inlineStr">
        <is>
          <t>Measure existing 24 V load, inrush, added load, fusing</t>
        </is>
      </c>
      <c r="H11" s="23" t="inlineStr">
        <is>
          <t>Existing 24 V PSU area</t>
        </is>
      </c>
      <c r="I11" s="23" t="inlineStr">
        <is>
          <t>Verify in cabinet</t>
        </is>
      </c>
      <c r="J11" s="23" t="inlineStr">
        <is>
          <t>Existing is 24 VDC 5 A; may be kept if adequate.</t>
        </is>
      </c>
    </row>
    <row r="12" ht="27.75" customHeight="1" s="18">
      <c r="B12" s="23" t="inlineStr">
        <is>
          <t>Power distribution</t>
        </is>
      </c>
      <c r="C12" s="23" t="inlineStr">
        <is>
          <t>DIN-rail fused terminal blocks / electronic circuit protectors for P24 branches</t>
        </is>
      </c>
      <c r="D12" s="22" t="inlineStr">
        <is>
          <t>As needed</t>
        </is>
      </c>
      <c r="E12" s="23" t="inlineStr">
        <is>
          <t>Buy after verification</t>
        </is>
      </c>
      <c r="F12" s="23" t="inlineStr">
        <is>
          <t>Fuse/protect Mesa I/O, sensors, relays, utility branches</t>
        </is>
      </c>
      <c r="G12" s="23" t="inlineStr">
        <is>
          <t>Branch count and current draw</t>
        </is>
      </c>
      <c r="H12" s="23" t="inlineStr">
        <is>
          <t>Near P24/G24 distribution and Mesa cards</t>
        </is>
      </c>
      <c r="I12" s="23" t="inlineStr">
        <is>
          <t>Measure before buying</t>
        </is>
      </c>
      <c r="J12" s="23" t="inlineStr">
        <is>
          <t>Plan separate fusing for controls, outputs, sensors, and relays.</t>
        </is>
      </c>
    </row>
    <row r="13" ht="27.75" customHeight="1" s="18">
      <c r="B13" s="22" t="inlineStr">
        <is>
          <t>Terminals</t>
        </is>
      </c>
      <c r="C13" s="23" t="inlineStr">
        <is>
          <t>DIN rail, terminal blocks, jumpers, end stops, labels</t>
        </is>
      </c>
      <c r="D13" s="22" t="inlineStr">
        <is>
          <t>Panel-specific</t>
        </is>
      </c>
      <c r="E13" s="23" t="inlineStr">
        <is>
          <t>Buy after verification</t>
        </is>
      </c>
      <c r="F13" s="23" t="inlineStr">
        <is>
          <t>Clean landing of old field wiring and new Mesa wiring</t>
        </is>
      </c>
      <c r="G13" s="23" t="inlineStr">
        <is>
          <t>Available rail length, wire sizes, terminal count</t>
        </is>
      </c>
      <c r="H13" s="23" t="inlineStr">
        <is>
          <t>Former Mazatrol bay / breakout PCB area</t>
        </is>
      </c>
      <c r="I13" s="23" t="inlineStr">
        <is>
          <t>Measure before buying</t>
        </is>
      </c>
      <c r="J13" s="23" t="inlineStr">
        <is>
          <t>Include P24/G24 distribution and shield clamps.</t>
        </is>
      </c>
    </row>
    <row r="14" ht="27.75" customHeight="1" s="18">
      <c r="B14" s="22" t="inlineStr">
        <is>
          <t>Wiring</t>
        </is>
      </c>
      <c r="C14" s="23" t="inlineStr">
        <is>
          <t>Shielded twisted-pair cable for analog commands and encoders</t>
        </is>
      </c>
      <c r="D14" s="22" t="inlineStr">
        <is>
          <t>Measure runs</t>
        </is>
      </c>
      <c r="E14" s="23" t="inlineStr">
        <is>
          <t>Buy after verification</t>
        </is>
      </c>
      <c r="F14" s="23" t="inlineStr">
        <is>
          <t>Low-noise ±10 V and encoder wiring</t>
        </is>
      </c>
      <c r="G14" s="23" t="inlineStr">
        <is>
          <t>Run lengths, conductor count, connector style</t>
        </is>
      </c>
      <c r="H14" s="23" t="inlineStr">
        <is>
          <t>Between drives/encoders and 7i77</t>
        </is>
      </c>
      <c r="I14" s="23" t="inlineStr">
        <is>
          <t>Measure before buying</t>
        </is>
      </c>
      <c r="J14" s="23" t="inlineStr">
        <is>
          <t>Keep analog/encoder away from contactor and motor power wiring.</t>
        </is>
      </c>
    </row>
    <row r="15" ht="27.75" customHeight="1" s="18">
      <c r="B15" s="22" t="inlineStr">
        <is>
          <t>Wiring</t>
        </is>
      </c>
      <c r="C15" s="23" t="inlineStr">
        <is>
          <t>24 V control wire, ferrules, wire duct, wire markers, heat shrink labels</t>
        </is>
      </c>
      <c r="D15" s="22" t="inlineStr">
        <is>
          <t>Panel-specific</t>
        </is>
      </c>
      <c r="E15" s="22" t="inlineStr">
        <is>
          <t>Buy now</t>
        </is>
      </c>
      <c r="F15" s="23" t="inlineStr">
        <is>
          <t>Cabinet rewiring and documentation</t>
        </is>
      </c>
      <c r="G15" s="23" t="inlineStr">
        <is>
          <t>Wire gauge standards and color scheme</t>
        </is>
      </c>
      <c r="H15" s="23" t="inlineStr">
        <is>
          <t>All new cabinet wiring</t>
        </is>
      </c>
      <c r="I15" s="23" t="inlineStr">
        <is>
          <t>Confirmed from notes</t>
        </is>
      </c>
      <c r="J15" s="23" t="inlineStr">
        <is>
          <t>Label every old and new wire before removal.</t>
        </is>
      </c>
    </row>
    <row r="16" ht="27.75" customHeight="1" s="18">
      <c r="B16" s="23" t="inlineStr">
        <is>
          <t>Interposing relays</t>
        </is>
      </c>
      <c r="C16" s="23" t="inlineStr">
        <is>
          <t>24 VDC interposing relay modules or relay sockets</t>
        </is>
      </c>
      <c r="D16" s="22" t="inlineStr">
        <is>
          <t>TBD</t>
        </is>
      </c>
      <c r="E16" s="23" t="inlineStr">
        <is>
          <t>Buy after verification</t>
        </is>
      </c>
      <c r="F16" s="23" t="inlineStr">
        <is>
          <t>Drive coils/contactor loads that exceed Mesa output rating or need isolation</t>
        </is>
      </c>
      <c r="G16" s="23" t="inlineStr">
        <is>
          <t>Output coil currents, AC/DC loads, snubber needs</t>
        </is>
      </c>
      <c r="H16" s="23" t="inlineStr">
        <is>
          <t>Near 7i84 outputs / contactor coils</t>
        </is>
      </c>
      <c r="I16" s="23" t="inlineStr">
        <is>
          <t>Measure before buying</t>
        </is>
      </c>
      <c r="J16" s="23" t="inlineStr">
        <is>
          <t>Especially for coolant, hydraulic, solenoids, lamps, contactors.</t>
        </is>
      </c>
    </row>
    <row r="17" ht="27.75" customHeight="1" s="18">
      <c r="B17" s="22" t="inlineStr">
        <is>
          <t>Protection</t>
        </is>
      </c>
      <c r="C17" s="23" t="inlineStr">
        <is>
          <t>Flyback diodes, RC snubbers, surge suppressors as appropriate</t>
        </is>
      </c>
      <c r="D17" s="22" t="inlineStr">
        <is>
          <t>Per coil/load</t>
        </is>
      </c>
      <c r="E17" s="23" t="inlineStr">
        <is>
          <t>Buy after verification</t>
        </is>
      </c>
      <c r="F17" s="23" t="inlineStr">
        <is>
          <t>Protect Mesa outputs and reduce cabinet noise</t>
        </is>
      </c>
      <c r="G17" s="23" t="inlineStr">
        <is>
          <t>Coil voltage AC/DC and existing suppression</t>
        </is>
      </c>
      <c r="H17" s="23" t="inlineStr">
        <is>
          <t>At coils or relay modules</t>
        </is>
      </c>
      <c r="I17" s="23" t="inlineStr">
        <is>
          <t>Measure before buying</t>
        </is>
      </c>
      <c r="J17" s="23" t="inlineStr">
        <is>
          <t>Do not put DC diode across AC coils.</t>
        </is>
      </c>
    </row>
    <row r="18" ht="27.75" customHeight="1" s="18">
      <c r="B18" s="22" t="inlineStr">
        <is>
          <t>Safety</t>
        </is>
      </c>
      <c r="C18" s="23" t="inlineStr">
        <is>
          <t>Safety relay / contactor interface if original estop chain is being reworked</t>
        </is>
      </c>
      <c r="D18" s="22" t="n">
        <v>1</v>
      </c>
      <c r="E18" s="23" t="inlineStr">
        <is>
          <t>Buy after verification</t>
        </is>
      </c>
      <c r="F18" s="23" t="inlineStr">
        <is>
          <t>Hardware-level estop and drive power removal</t>
        </is>
      </c>
      <c r="G18" s="23" t="inlineStr">
        <is>
          <t>Existing estop/door chain architecture</t>
        </is>
      </c>
      <c r="H18" s="23" t="inlineStr">
        <is>
          <t>Safety/control section</t>
        </is>
      </c>
      <c r="I18" s="23" t="inlineStr">
        <is>
          <t>Verify in cabinet</t>
        </is>
      </c>
      <c r="J18" s="23" t="inlineStr">
        <is>
          <t>LinuxCNC/Mesa should monitor safety; hardware chain should remove hazardous power.</t>
        </is>
      </c>
    </row>
    <row r="19" ht="27.75" customHeight="1" s="18">
      <c r="B19" s="22" t="inlineStr">
        <is>
          <t>Mechanical</t>
        </is>
      </c>
      <c r="C19" s="23" t="inlineStr">
        <is>
          <t>PC mounting tray/brackets, filtered fan/airflow parts if needed</t>
        </is>
      </c>
      <c r="D19" s="22" t="inlineStr">
        <is>
          <t>TBD</t>
        </is>
      </c>
      <c r="E19" s="23" t="inlineStr">
        <is>
          <t>Measure before buying</t>
        </is>
      </c>
      <c r="F19" s="23" t="inlineStr">
        <is>
          <t>Secure tower PC inside former Mazatrol bay with adequate airflow</t>
        </is>
      </c>
      <c r="G19" s="23" t="inlineStr">
        <is>
          <t>Cabinet bay dimensions, door clearance, cooling path</t>
        </is>
      </c>
      <c r="H19" s="23" t="inlineStr">
        <is>
          <t>Former Mazatrol rack bay</t>
        </is>
      </c>
      <c r="I19" s="23" t="inlineStr">
        <is>
          <t>Measure before buying</t>
        </is>
      </c>
      <c r="J19" s="23" t="inlineStr">
        <is>
          <t>Protect PC from chips/oil/coolant mist and vibration.</t>
        </is>
      </c>
    </row>
    <row r="20" ht="27.75" customHeight="1" s="18">
      <c r="B20" s="22" t="inlineStr">
        <is>
          <t>Cabling</t>
        </is>
      </c>
      <c r="C20" s="23" t="inlineStr">
        <is>
          <t>50-pin IDC/ribbon cables and Mesa-compatible connectors</t>
        </is>
      </c>
      <c r="D20" s="22" t="inlineStr">
        <is>
          <t>TBD</t>
        </is>
      </c>
      <c r="E20" s="23" t="inlineStr">
        <is>
          <t>Buy after verification</t>
        </is>
      </c>
      <c r="F20" s="23" t="inlineStr">
        <is>
          <t>Connect 6i25 to daughtercards</t>
        </is>
      </c>
      <c r="G20" s="23" t="inlineStr">
        <is>
          <t>Exact card stack and cable length limits</t>
        </is>
      </c>
      <c r="H20" s="23" t="inlineStr">
        <is>
          <t>PC to DIN/panel cards</t>
        </is>
      </c>
      <c r="I20" s="23" t="inlineStr">
        <is>
          <t>Measure before buying</t>
        </is>
      </c>
      <c r="J20" s="23" t="inlineStr">
        <is>
          <t>Keep short and mechanically protected.</t>
        </is>
      </c>
    </row>
  </sheetData>
  <autoFilter ref="B5:J20"/>
  <mergeCells count="1">
    <mergeCell ref="B2:J2"/>
  </mergeCells>
  <conditionalFormatting sqref="B6:Z20">
    <cfRule type="expression" rank="0" priority="2" equalAverage="0" aboveAverage="0" dxfId="7" text="" percent="0" bottom="0">
      <formula>$I6="Confirmed from notes"</formula>
    </cfRule>
    <cfRule type="expression" rank="0" priority="3" equalAverage="0" aboveAverage="0" dxfId="8" text="" percent="0" bottom="0">
      <formula>$I6="Inferred / likely"</formula>
    </cfRule>
    <cfRule type="expression" rank="0" priority="4" equalAverage="0" aboveAverage="0" dxfId="8" text="" percent="0" bottom="0">
      <formula>$I6="Verify in cabinet"</formula>
    </cfRule>
    <cfRule type="expression" rank="0" priority="5" equalAverage="0" aboveAverage="0" dxfId="8" text="" percent="0" bottom="0">
      <formula>$I6="Measure before buying"</formula>
    </cfRule>
    <cfRule type="expression" rank="0" priority="6" equalAverage="0" aboveAverage="0" dxfId="9" text="" percent="0" bottom="0">
      <formula>$I6="Optional"</formula>
    </cfRule>
  </conditionalFormatting>
  <dataValidations count="2">
    <dataValidation sqref="E6:E20" showDropDown="0" showInputMessage="0" showErrorMessage="0" allowBlank="1" type="list" errorStyle="stop" operator="between">
      <formula1>"Buy now,Buy after verification,Optional,Reuse existing,Do not buy yet"</formula1>
      <formula2>0</formula2>
    </dataValidation>
    <dataValidation sqref="I6:I20" showDropDown="0" showInputMessage="0" showErrorMessage="0" allowBlank="1" type="list" errorStyle="stop" operator="between">
      <formula1>"Confirmed from notes,Inferred / likely,Verify in cabinet,Measure before buying,Optional,TBD"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1"/>
  </sheetPr>
  <dimension ref="B2:H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17" min="1" max="1"/>
    <col width="48" customWidth="1" style="17" min="2" max="4"/>
    <col width="33.6" customWidth="1" style="17" min="5" max="5"/>
    <col width="21.9" customWidth="1" style="17" min="6" max="6"/>
    <col width="48" customWidth="1" style="17" min="7" max="7"/>
  </cols>
  <sheetData>
    <row r="1" ht="27.75" customHeight="1" s="18"/>
    <row r="2" ht="27.75" customHeight="1" s="18">
      <c r="B2" s="19" t="inlineStr">
        <is>
          <t>Cabinet Wiring Notes and Cut-over Plan</t>
        </is>
      </c>
    </row>
    <row r="3" ht="27.75" customHeight="1" s="18">
      <c r="B3" s="20" t="inlineStr">
        <is>
          <t>Practical notes for planning cabinet work. Treat as a working checklist to update as measurements and terminal labels are confirmed.</t>
        </is>
      </c>
    </row>
    <row r="4" ht="27.75" customHeight="1" s="18"/>
    <row r="5" ht="27.75" customHeight="1" s="18">
      <c r="B5" s="21" t="inlineStr">
        <is>
          <t>Phase</t>
        </is>
      </c>
      <c r="C5" s="21" t="inlineStr">
        <is>
          <t>Task / Note</t>
        </is>
      </c>
      <c r="D5" s="21" t="inlineStr">
        <is>
          <t>Why it matters</t>
        </is>
      </c>
      <c r="E5" s="21" t="inlineStr">
        <is>
          <t>Affected Sheets</t>
        </is>
      </c>
      <c r="F5" s="21" t="inlineStr">
        <is>
          <t>Status</t>
        </is>
      </c>
      <c r="G5" s="21" t="inlineStr">
        <is>
          <t>Notes</t>
        </is>
      </c>
    </row>
    <row r="6" ht="27.75" customHeight="1" s="18">
      <c r="B6" s="23" t="inlineStr">
        <is>
          <t>Document before removal</t>
        </is>
      </c>
      <c r="C6" s="23" t="inlineStr">
        <is>
          <t>Photograph every Mazatrol rack connector, green breakout PCB plug, drive terminal strip, HR-11F-24 terminal, and terminal strip before unplugging.</t>
        </is>
      </c>
      <c r="D6" s="23" t="inlineStr">
        <is>
          <t>Lets each original function find a new Mesa landing point and protects against lost wire identity.</t>
        </is>
      </c>
      <c r="E6" s="23" t="inlineStr">
        <is>
          <t>IO_Master, 24V_Terminals</t>
        </is>
      </c>
      <c r="F6" s="23" t="inlineStr">
        <is>
          <t>Confirmed from notes</t>
        </is>
      </c>
      <c r="G6" s="23" t="inlineStr">
        <is>
          <t>Include wire numbers and pulled-back photos showing destination.</t>
        </is>
      </c>
    </row>
    <row r="7" ht="27.75" customHeight="1" s="18">
      <c r="B7" s="22" t="inlineStr">
        <is>
          <t>Labeling</t>
        </is>
      </c>
      <c r="C7" s="23" t="inlineStr">
        <is>
          <t>Apply wire markers to both ends of every moved conductor; record terminal strip ID/position and old connector pin if known.</t>
        </is>
      </c>
      <c r="D7" s="23" t="inlineStr">
        <is>
          <t>The workbook becomes the source of truth for HAL and wiring.</t>
        </is>
      </c>
      <c r="E7" s="22" t="inlineStr">
        <is>
          <t>IO_Master</t>
        </is>
      </c>
      <c r="F7" s="23" t="inlineStr">
        <is>
          <t>Confirmed from notes</t>
        </is>
      </c>
      <c r="G7" s="23" t="inlineStr">
        <is>
          <t>Add columns if you want Old Connector / New Terminal detail.</t>
        </is>
      </c>
    </row>
    <row r="8" ht="27.75" customHeight="1" s="18">
      <c r="B8" s="22" t="inlineStr">
        <is>
          <t>Power</t>
        </is>
      </c>
      <c r="C8" s="23" t="inlineStr">
        <is>
          <t>Keep existing main power distribution, contactors, transformers, FR-SX drive, servo drives, and 24 V supply intact until individually traced.</t>
        </is>
      </c>
      <c r="D8" s="23" t="inlineStr">
        <is>
          <t>Retrofit replaces Mazatrol logic, not the whole machine electrical system.</t>
        </is>
      </c>
      <c r="E8" s="23" t="inlineStr">
        <is>
          <t>24V_Terminals, Parts_List</t>
        </is>
      </c>
      <c r="F8" s="23" t="inlineStr">
        <is>
          <t>Confirmed from notes</t>
        </is>
      </c>
      <c r="G8" s="23" t="inlineStr">
        <is>
          <t>Measure 24 V load before deciding whether to replace HR-11F-24.</t>
        </is>
      </c>
    </row>
    <row r="9" ht="27.75" customHeight="1" s="18">
      <c r="B9" s="22" t="inlineStr">
        <is>
          <t>PC install</t>
        </is>
      </c>
      <c r="C9" s="23" t="inlineStr">
        <is>
          <t>Mount the tower PC where the Mazatrol rack was, with service clearance, strain relief, airflow, and protected cable routing.</t>
        </is>
      </c>
      <c r="D9" s="23" t="inlineStr">
        <is>
          <t>PCIe Mesa works best with the PC in/near cabinet and short internal cables.</t>
        </is>
      </c>
      <c r="E9" s="23" t="inlineStr">
        <is>
          <t>Parts_List, Unknowns_Measure</t>
        </is>
      </c>
      <c r="F9" s="23" t="inlineStr">
        <is>
          <t>Measure before buying</t>
        </is>
      </c>
      <c r="G9" s="23" t="inlineStr">
        <is>
          <t>Check door closure, vibration, coolant mist exposure, grounding.</t>
        </is>
      </c>
    </row>
    <row r="10" ht="27.75" customHeight="1" s="18">
      <c r="B10" s="22" t="inlineStr">
        <is>
          <t>Mesa layout</t>
        </is>
      </c>
      <c r="C10" s="23" t="inlineStr">
        <is>
          <t>Mount 7i77 near drive/encoder wiring and 7i84 near the green breakout PCB/field I/O area.</t>
        </is>
      </c>
      <c r="D10" s="23" t="inlineStr">
        <is>
          <t>Keeps analog/encoder runs short and bulk ATC wiring localized.</t>
        </is>
      </c>
      <c r="E10" s="23" t="inlineStr">
        <is>
          <t>7i77_Axis_Safety, 7i84_ATC_Utility</t>
        </is>
      </c>
      <c r="F10" s="23" t="inlineStr">
        <is>
          <t>Inferred / likely</t>
        </is>
      </c>
      <c r="G10" s="23" t="inlineStr">
        <is>
          <t>Separate low-level analog/encoder wiring from solenoid/contactor wiring.</t>
        </is>
      </c>
    </row>
    <row r="11" ht="27.75" customHeight="1" s="18">
      <c r="B11" s="22" t="inlineStr">
        <is>
          <t>Motion wiring</t>
        </is>
      </c>
      <c r="C11" s="23" t="inlineStr">
        <is>
          <t>Move Mazatrol analog command, encoder, drive enable, and drive fault lines to the 7i77 only after terminal functions are confirmed.</t>
        </is>
      </c>
      <c r="D11" s="23" t="inlineStr">
        <is>
          <t>Incorrect polarity or scaling can cause runaway motion.</t>
        </is>
      </c>
      <c r="E11" s="23" t="inlineStr">
        <is>
          <t>Motion_Axes, Analog_Encoder</t>
        </is>
      </c>
      <c r="F11" s="23" t="inlineStr">
        <is>
          <t>Verify in cabinet</t>
        </is>
      </c>
      <c r="G11" s="23" t="inlineStr">
        <is>
          <t>First verify encoder counts with drives disabled.</t>
        </is>
      </c>
    </row>
    <row r="12" ht="27.75" customHeight="1" s="18">
      <c r="B12" s="23" t="inlineStr">
        <is>
          <t>Field I/O wiring</t>
        </is>
      </c>
      <c r="C12" s="23" t="inlineStr">
        <is>
          <t>Move solenoids, prox switches, pressure switches, coolant, and air outputs to the 7i84/interposing relays one subsystem at a time.</t>
        </is>
      </c>
      <c r="D12" s="23" t="inlineStr">
        <is>
          <t>Simplifies testing and avoids coupling ATC errors to axis bring-up.</t>
        </is>
      </c>
      <c r="E12" s="23" t="inlineStr">
        <is>
          <t>7i84_ATC_Utility</t>
        </is>
      </c>
      <c r="F12" s="23" t="inlineStr">
        <is>
          <t>Confirmed from notes</t>
        </is>
      </c>
      <c r="G12" s="23" t="inlineStr">
        <is>
          <t>Verify coil current and voltage before direct Mesa output use.</t>
        </is>
      </c>
    </row>
    <row r="13" ht="27.75" customHeight="1" s="18">
      <c r="B13" s="22" t="inlineStr">
        <is>
          <t>Safety</t>
        </is>
      </c>
      <c r="C13" s="23" t="inlineStr">
        <is>
          <t>Preserve a hardware estop chain that removes hazardous power; use Mesa/LinuxCNC to monitor and request enables, not as the sole safety device.</t>
        </is>
      </c>
      <c r="D13" s="23" t="inlineStr">
        <is>
          <t>Software alone is not a safety chain.</t>
        </is>
      </c>
      <c r="E13" s="23" t="inlineStr">
        <is>
          <t>7i77_Axis_Safety, Parts_List</t>
        </is>
      </c>
      <c r="F13" s="23" t="inlineStr">
        <is>
          <t>Verify in cabinet</t>
        </is>
      </c>
      <c r="G13" s="23" t="inlineStr">
        <is>
          <t>Consider safety relay if original chain is reworked.</t>
        </is>
      </c>
    </row>
    <row r="14" ht="27.75" customHeight="1" s="18">
      <c r="B14" s="23" t="inlineStr">
        <is>
          <t>Grounding/shields</t>
        </is>
      </c>
      <c r="C14" s="23" t="inlineStr">
        <is>
          <t>Terminate encoder/analog shields consistently at the cabinet/control end unless the drive manual says otherwise; keep 0 V returns tied to the original common/star point.</t>
        </is>
      </c>
      <c r="D14" s="23" t="inlineStr">
        <is>
          <t>Reduces noise and avoids ground loops.</t>
        </is>
      </c>
      <c r="E14" s="23" t="inlineStr">
        <is>
          <t>Analog_Encoder, 24V_Terminals</t>
        </is>
      </c>
      <c r="F14" s="23" t="inlineStr">
        <is>
          <t>Verify in cabinet</t>
        </is>
      </c>
      <c r="G14" s="23" t="inlineStr">
        <is>
          <t>Document every shield drain landing.</t>
        </is>
      </c>
    </row>
    <row r="15" ht="27.75" customHeight="1" s="18">
      <c r="B15" s="22" t="inlineStr">
        <is>
          <t>Bring-up</t>
        </is>
      </c>
      <c r="C15" s="23" t="inlineStr">
        <is>
          <t>Bring up in order: power and I/O visibility, encoder counts, drive enables, single-axis jogs, spindle low-speed, limits/home, then ATC dry-run.</t>
        </is>
      </c>
      <c r="D15" s="23" t="inlineStr">
        <is>
          <t>Finds wiring errors before higher-energy functions are enabled.</t>
        </is>
      </c>
      <c r="E15" s="23" t="inlineStr">
        <is>
          <t>Motion_Axes, IO_Master</t>
        </is>
      </c>
      <c r="F15" s="23" t="inlineStr">
        <is>
          <t>Confirmed from notes</t>
        </is>
      </c>
      <c r="G15" s="23" t="inlineStr">
        <is>
          <t>Use low speeds and no tool/load during first ATC tests.</t>
        </is>
      </c>
    </row>
  </sheetData>
  <autoFilter ref="B5:G15"/>
  <mergeCells count="1">
    <mergeCell ref="B2:H2"/>
  </mergeCells>
  <conditionalFormatting sqref="B6:Z15">
    <cfRule type="expression" rank="0" priority="2" equalAverage="0" aboveAverage="0" dxfId="7" text="" percent="0" bottom="0">
      <formula>$F6="Confirmed from notes"</formula>
    </cfRule>
    <cfRule type="expression" rank="0" priority="3" equalAverage="0" aboveAverage="0" dxfId="8" text="" percent="0" bottom="0">
      <formula>$F6="Inferred / likely"</formula>
    </cfRule>
    <cfRule type="expression" rank="0" priority="4" equalAverage="0" aboveAverage="0" dxfId="8" text="" percent="0" bottom="0">
      <formula>$F6="Verify in cabinet"</formula>
    </cfRule>
    <cfRule type="expression" rank="0" priority="5" equalAverage="0" aboveAverage="0" dxfId="8" text="" percent="0" bottom="0">
      <formula>$F6="Measure before buying"</formula>
    </cfRule>
    <cfRule type="expression" rank="0" priority="6" equalAverage="0" aboveAverage="0" dxfId="9" text="" percent="0" bottom="0">
      <formula>$F6="Optional"</formula>
    </cfRule>
  </conditionalFormatting>
  <dataValidations count="1">
    <dataValidation sqref="F6:F15" showDropDown="0" showInputMessage="0" showErrorMessage="0" allowBlank="1" type="list" errorStyle="stop" operator="between">
      <formula1>"Confirmed from notes,Inferred / likely,Verify in cabinet,Measure before buying,Optional,TBD"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1"/>
  </sheetPr>
  <dimension ref="B2:I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17" min="1" max="1"/>
    <col width="48" customWidth="1" style="17" min="2" max="6"/>
    <col width="13.8" customWidth="1" style="17" min="7" max="7"/>
    <col width="21.9" customWidth="1" style="17" min="8" max="8"/>
    <col width="48" customWidth="1" style="17" min="9" max="9"/>
  </cols>
  <sheetData>
    <row r="1" ht="27.75" customHeight="1" s="18"/>
    <row r="2" ht="27.75" customHeight="1" s="18">
      <c r="B2" s="19" t="inlineStr">
        <is>
          <t>Unknowns and Measurements Still Needed</t>
        </is>
      </c>
    </row>
    <row r="3" ht="27.75" customHeight="1" s="18">
      <c r="B3" s="20" t="inlineStr">
        <is>
          <t>Use this as the measurement punch list before final ordering, drilling, and live machine bring-up.</t>
        </is>
      </c>
    </row>
    <row r="4" ht="27.75" customHeight="1" s="18"/>
    <row r="5" ht="27.75" customHeight="1" s="18">
      <c r="B5" s="21" t="inlineStr">
        <is>
          <t>Priority</t>
        </is>
      </c>
      <c r="C5" s="21" t="inlineStr">
        <is>
          <t>Unknown / Measurement</t>
        </is>
      </c>
      <c r="D5" s="21" t="inlineStr">
        <is>
          <t>Why Needed</t>
        </is>
      </c>
      <c r="E5" s="21" t="inlineStr">
        <is>
          <t>How to Check</t>
        </is>
      </c>
      <c r="F5" s="21" t="inlineStr">
        <is>
          <t>Blocks Purchase / Work</t>
        </is>
      </c>
      <c r="G5" s="21" t="inlineStr">
        <is>
          <t>Owner / Date</t>
        </is>
      </c>
      <c r="H5" s="21" t="inlineStr">
        <is>
          <t>Status</t>
        </is>
      </c>
      <c r="I5" s="21" t="inlineStr">
        <is>
          <t>Notes</t>
        </is>
      </c>
    </row>
    <row r="6" ht="27.75" customHeight="1" s="18">
      <c r="B6" s="22" t="inlineStr">
        <is>
          <t>High</t>
        </is>
      </c>
      <c r="C6" s="23" t="inlineStr">
        <is>
          <t>Axis servo drive command type and scaling</t>
        </is>
      </c>
      <c r="D6" s="23" t="inlineStr">
        <is>
          <t>Confirms whether 7i77 ±10 V outputs can directly command X/Y/Z drives.</t>
        </is>
      </c>
      <c r="E6" s="23" t="inlineStr">
        <is>
          <t>Read drive model/terminal labels/manual; meter original command during safe conditions if possible.</t>
        </is>
      </c>
      <c r="F6" s="23" t="inlineStr">
        <is>
          <t>Mesa 7i77 final purchase and HAL scaling</t>
        </is>
      </c>
      <c r="G6" s="22" t="n"/>
      <c r="H6" s="23" t="inlineStr">
        <is>
          <t>Measure before buying</t>
        </is>
      </c>
      <c r="I6" s="23" t="inlineStr">
        <is>
          <t>Do before wiring AO0-AO2.</t>
        </is>
      </c>
    </row>
    <row r="7" ht="27.75" customHeight="1" s="18">
      <c r="B7" s="22" t="inlineStr">
        <is>
          <t>High</t>
        </is>
      </c>
      <c r="C7" s="23" t="inlineStr">
        <is>
          <t>Per-axis resolver label, winding pairs, transformation ratio, and return signal level</t>
        </is>
      </c>
      <c r="D7" s="23" t="inlineStr">
        <is>
          <t>Confirms plain 7i49 (not HV) works; sets 7i49 scale and excitation.</t>
        </is>
      </c>
      <c r="E7" s="23" t="inlineStr">
        <is>
          <t>Ohmmeter winding pairs before power; scope sin/cos return after 5kHz excitation; note model RT-5XA-11/L1.</t>
        </is>
      </c>
      <c r="F7" s="23" t="inlineStr">
        <is>
          <t>Resolver wiring, HAL scale, live motion, 7i49 vs 7i49HV decision</t>
        </is>
      </c>
      <c r="G7" s="22" t="n"/>
      <c r="H7" s="23" t="inlineStr">
        <is>
          <t>Measure before buying</t>
        </is>
      </c>
      <c r="I7" s="23" t="inlineStr">
        <is>
          <t>7i49 is sole excitation source; MS3108B 20-29P is a connector, not a model.</t>
        </is>
      </c>
    </row>
    <row r="8" ht="27.75" customHeight="1" s="18">
      <c r="B8" s="22" t="inlineStr">
        <is>
          <t>High</t>
        </is>
      </c>
      <c r="C8" s="23" t="inlineStr">
        <is>
          <t>Spindle FR-SX command mode, analog speed range, direction/run terminals</t>
        </is>
      </c>
      <c r="D8" s="23" t="inlineStr">
        <is>
          <t>Determines AO3 scaling and DO wiring.</t>
        </is>
      </c>
      <c r="E8" s="23" t="inlineStr">
        <is>
          <t>Read FR-SX terminal strip/manual; record terminal labels; measure original analog range if possible.</t>
        </is>
      </c>
      <c r="F8" s="23" t="inlineStr">
        <is>
          <t>Spindle wiring and HAL</t>
        </is>
      </c>
      <c r="G8" s="22" t="n"/>
      <c r="H8" s="23" t="inlineStr">
        <is>
          <t>Measure before buying</t>
        </is>
      </c>
      <c r="I8" s="23" t="inlineStr">
        <is>
          <t>Also confirm zero-speed/at-speed outputs.</t>
        </is>
      </c>
    </row>
    <row r="9" ht="27.75" customHeight="1" s="18">
      <c r="B9" s="22" t="inlineStr">
        <is>
          <t>High</t>
        </is>
      </c>
      <c r="C9" s="23" t="inlineStr">
        <is>
          <t>Existing estop, door, servo-on, and ready-chain architecture</t>
        </is>
      </c>
      <c r="D9" s="23" t="inlineStr">
        <is>
          <t>Safety chain must remain hardware-safe after Mazatrol removal.</t>
        </is>
      </c>
      <c r="E9" s="23" t="inlineStr">
        <is>
          <t>Trace estop/door contacts, safety relay/contactors, servo contactor coil path.</t>
        </is>
      </c>
      <c r="F9" s="23" t="inlineStr">
        <is>
          <t>Safety relay/contactors/interposing relay decisions</t>
        </is>
      </c>
      <c r="G9" s="22" t="n"/>
      <c r="H9" s="23" t="inlineStr">
        <is>
          <t>Measure before buying</t>
        </is>
      </c>
      <c r="I9" s="23" t="inlineStr">
        <is>
          <t>Do not assume software estop is sufficient.</t>
        </is>
      </c>
    </row>
    <row r="10" ht="27.75" customHeight="1" s="18">
      <c r="B10" s="22" t="inlineStr">
        <is>
          <t>High</t>
        </is>
      </c>
      <c r="C10" s="23" t="inlineStr">
        <is>
          <t>24 VDC supply load and available headroom</t>
        </is>
      </c>
      <c r="D10" s="23" t="inlineStr">
        <is>
          <t>Existing HR-11F-24 is 24 V/5 A; added Mesa I/O/relays may exceed margin.</t>
        </is>
      </c>
      <c r="E10" s="23" t="inlineStr">
        <is>
          <t>Measure load current with machine powered; estimate added loads; inspect existing fusing.</t>
        </is>
      </c>
      <c r="F10" s="23" t="inlineStr">
        <is>
          <t>PSU replacement and fused terminal sizing</t>
        </is>
      </c>
      <c r="G10" s="22" t="n"/>
      <c r="H10" s="23" t="inlineStr">
        <is>
          <t>Measure before buying</t>
        </is>
      </c>
      <c r="I10" s="23" t="inlineStr">
        <is>
          <t>Keep P24/G24 documented.</t>
        </is>
      </c>
    </row>
    <row r="11" ht="27.75" customHeight="1" s="18">
      <c r="B11" s="22" t="inlineStr">
        <is>
          <t>High</t>
        </is>
      </c>
      <c r="C11" s="23" t="inlineStr">
        <is>
          <t>Solenoid/contactor coil voltage and current for ATC, coolant, hydraulic outputs</t>
        </is>
      </c>
      <c r="D11" s="23" t="inlineStr">
        <is>
          <t>Determines whether Mesa outputs can drive directly or need relays/snubbers.</t>
        </is>
      </c>
      <c r="E11" s="23" t="inlineStr">
        <is>
          <t>Read coil labels, measure resistance/current, check AC vs DC.</t>
        </is>
      </c>
      <c r="F11" s="23" t="inlineStr">
        <is>
          <t>7i84 output wiring, relay modules, suppression</t>
        </is>
      </c>
      <c r="G11" s="22" t="n"/>
      <c r="H11" s="23" t="inlineStr">
        <is>
          <t>Measure before buying</t>
        </is>
      </c>
      <c r="I11" s="23" t="inlineStr">
        <is>
          <t>Use interposing relays if in doubt.</t>
        </is>
      </c>
    </row>
    <row r="12" ht="27.75" customHeight="1" s="18">
      <c r="B12" s="22" t="inlineStr">
        <is>
          <t>Medium</t>
        </is>
      </c>
      <c r="C12" s="23" t="inlineStr">
        <is>
          <t>Magazine tool-bit count and PRS-21...25 mapping</t>
        </is>
      </c>
      <c r="D12" s="23" t="inlineStr">
        <is>
          <t>Defines ATC tool-number decode logic.</t>
        </is>
      </c>
      <c r="E12" s="23" t="inlineStr">
        <is>
          <t>Rotate magazine manually/safely and record PRS bit pattern for each pocket.</t>
        </is>
      </c>
      <c r="F12" s="23" t="inlineStr">
        <is>
          <t>ATC HAL/component logic</t>
        </is>
      </c>
      <c r="G12" s="22" t="n"/>
      <c r="H12" s="23" t="inlineStr">
        <is>
          <t>Verify in cabinet</t>
        </is>
      </c>
      <c r="I12" s="23" t="inlineStr">
        <is>
          <t>Confirm PRS-25 used/not used.</t>
        </is>
      </c>
    </row>
    <row r="13" ht="27.75" customHeight="1" s="18">
      <c r="B13" s="22" t="inlineStr">
        <is>
          <t>Medium</t>
        </is>
      </c>
      <c r="C13" s="23" t="inlineStr">
        <is>
          <t>PRS-8/9, PRS-10/12, PRS-13 actual normal states</t>
        </is>
      </c>
      <c r="D13" s="23" t="inlineStr">
        <is>
          <t>Correct clamp, gear, and magazine interlocks.</t>
        </is>
      </c>
      <c r="E13" s="23" t="inlineStr">
        <is>
          <t>Meter each prox/switch in both states; record active high/low.</t>
        </is>
      </c>
      <c r="F13" s="23" t="inlineStr">
        <is>
          <t>ATC/hydraulic logic</t>
        </is>
      </c>
      <c r="G13" s="22" t="n"/>
      <c r="H13" s="23" t="inlineStr">
        <is>
          <t>Verify in cabinet</t>
        </is>
      </c>
      <c r="I13" s="22" t="n"/>
    </row>
    <row r="14" ht="27.75" customHeight="1" s="18">
      <c r="B14" s="22" t="inlineStr">
        <is>
          <t>Medium</t>
        </is>
      </c>
      <c r="C14" s="23" t="inlineStr">
        <is>
          <t>Y/Z ATC zone switches existence and labels</t>
        </is>
      </c>
      <c r="D14" s="23" t="inlineStr">
        <is>
          <t>ATC must know axes are in safe tool-change position.</t>
        </is>
      </c>
      <c r="E14" s="23" t="inlineStr">
        <is>
          <t>Trace from manual/photo labels; move axes with machine safe and watch signals.</t>
        </is>
      </c>
      <c r="F14" s="22" t="inlineStr">
        <is>
          <t>ATC dry-run</t>
        </is>
      </c>
      <c r="G14" s="22" t="n"/>
      <c r="H14" s="23" t="inlineStr">
        <is>
          <t>Verify in cabinet</t>
        </is>
      </c>
      <c r="I14" s="23" t="inlineStr">
        <is>
          <t>Can be software limits plus physical confirmation if present.</t>
        </is>
      </c>
    </row>
    <row r="15" ht="27.75" customHeight="1" s="18">
      <c r="B15" s="22" t="inlineStr">
        <is>
          <t>Medium</t>
        </is>
      </c>
      <c r="C15" s="23" t="inlineStr">
        <is>
          <t>Cabinet space for PC, 7i77, 7i84, terminal blocks, wire duct</t>
        </is>
      </c>
      <c r="D15" s="23" t="inlineStr">
        <is>
          <t>Determines DIN rail, duct, cable length, and mounting hardware.</t>
        </is>
      </c>
      <c r="E15" s="23" t="inlineStr">
        <is>
          <t>Measure bay width/height/depth, door swing, service clearance, airflow path.</t>
        </is>
      </c>
      <c r="F15" s="23" t="inlineStr">
        <is>
          <t>DIN rail, wire duct, PC brackets</t>
        </is>
      </c>
      <c r="G15" s="22" t="n"/>
      <c r="H15" s="23" t="inlineStr">
        <is>
          <t>Measure before buying</t>
        </is>
      </c>
      <c r="I15" s="22" t="n"/>
    </row>
    <row r="16" ht="27.75" customHeight="1" s="18">
      <c r="B16" s="22" t="inlineStr">
        <is>
          <t>Medium</t>
        </is>
      </c>
      <c r="C16" s="23" t="inlineStr">
        <is>
          <t>Existing green breakout PCB connector pinout</t>
        </is>
      </c>
      <c r="D16" s="23" t="inlineStr">
        <is>
          <t>Could reuse as junction or replace with terminal blocks.</t>
        </is>
      </c>
      <c r="E16" s="23" t="inlineStr">
        <is>
          <t>Photograph connector labels, continuity trace to terminal strips/field devices.</t>
        </is>
      </c>
      <c r="F16" s="23" t="inlineStr">
        <is>
          <t>Harness strategy</t>
        </is>
      </c>
      <c r="G16" s="22" t="n"/>
      <c r="H16" s="23" t="inlineStr">
        <is>
          <t>Verify in cabinet</t>
        </is>
      </c>
      <c r="I16" s="23" t="inlineStr">
        <is>
          <t>Board labeled YM VQC-20-40/50 in notes.</t>
        </is>
      </c>
    </row>
    <row r="17" ht="27.75" customHeight="1" s="18">
      <c r="B17" s="22" t="inlineStr">
        <is>
          <t>Low</t>
        </is>
      </c>
      <c r="C17" s="23" t="inlineStr">
        <is>
          <t>Pendant exact model/driver compatibility</t>
        </is>
      </c>
      <c r="D17" s="23" t="inlineStr">
        <is>
          <t>Avoids buying a pendant with poor LinuxCNC support.</t>
        </is>
      </c>
      <c r="E17" s="23" t="inlineStr">
        <is>
          <t>Choose exact WHB04B model and verify LinuxCNC driver/HAL pins.</t>
        </is>
      </c>
      <c r="F17" s="23" t="inlineStr">
        <is>
          <t>Pendant purchase only</t>
        </is>
      </c>
      <c r="G17" s="22" t="n"/>
      <c r="H17" s="22" t="inlineStr">
        <is>
          <t>Optional</t>
        </is>
      </c>
      <c r="I17" s="22" t="n"/>
    </row>
    <row r="18">
      <c r="B18" s="33" t="inlineStr">
        <is>
          <t>High</t>
        </is>
      </c>
      <c r="C18" s="34" t="inlineStr">
        <is>
          <t>Resolver return signal level after 7i49 excitation</t>
        </is>
      </c>
      <c r="D18" s="34" t="inlineStr">
        <is>
          <t>Decides full-drive vs W2 half-drive/divider and plain-7i49 vs 7i49HV.</t>
        </is>
      </c>
      <c r="E18" s="34" t="inlineStr">
        <is>
          <t>Scope RESSIN/RESCOS with 7i49 at 5kHz; expect ~1V RMS on 2:1.</t>
        </is>
      </c>
      <c r="F18" s="34" t="inlineStr">
        <is>
          <t>7i49 tuning and possible 7i49HV escalation</t>
        </is>
      </c>
      <c r="H18" s="34" t="inlineStr">
        <is>
          <t>Measure at bring-up</t>
        </is>
      </c>
      <c r="I18" s="34" t="inlineStr">
        <is>
          <t>Do with drives disabled.</t>
        </is>
      </c>
    </row>
    <row r="19">
      <c r="B19" s="33" t="inlineStr">
        <is>
          <t>High</t>
        </is>
      </c>
      <c r="C19" s="34" t="inlineStr">
        <is>
          <t>7i49-to-host connection path and firmware num_resolvers</t>
        </is>
      </c>
      <c r="D19" s="34" t="inlineStr">
        <is>
          <t>Determines board tag, resolver channel names, and HAL config.</t>
        </is>
      </c>
      <c r="E19" s="34" t="inlineStr">
        <is>
          <t>Confirm how 7i49 attaches to the 7i97T FPGA; load resolver firmware; readhmid.</t>
        </is>
      </c>
      <c r="F19" s="34" t="inlineStr">
        <is>
          <t>Firmware/HAL finalization</t>
        </is>
      </c>
      <c r="H19" s="34" t="inlineStr">
        <is>
          <t>Verify before wiring</t>
        </is>
      </c>
      <c r="I19" s="34" t="inlineStr">
        <is>
          <t>Feedback is resolver, not encoder.</t>
        </is>
      </c>
    </row>
    <row r="20">
      <c r="B20" s="33" t="inlineStr">
        <is>
          <t>Medium</t>
        </is>
      </c>
      <c r="C20" s="34" t="inlineStr">
        <is>
          <t>Final resolver HAL scale and axis orientation</t>
        </is>
      </c>
      <c r="D20" s="34" t="inlineStr">
        <is>
          <t>Correct position scaling and direction per axis.</t>
        </is>
      </c>
      <c r="E20" s="34" t="inlineStr">
        <is>
          <t>Count test with drives disabled; set resolver.NN.scale.</t>
        </is>
      </c>
      <c r="F20" s="34" t="inlineStr">
        <is>
          <t>Live motion</t>
        </is>
      </c>
      <c r="H20" s="34" t="inlineStr">
        <is>
          <t>Measure at bring-up</t>
        </is>
      </c>
      <c r="I20" s="34" t="inlineStr"/>
    </row>
    <row r="21">
      <c r="B21" s="33" t="inlineStr">
        <is>
          <t>Medium</t>
        </is>
      </c>
      <c r="C21" s="34" t="inlineStr">
        <is>
          <t>Resolver cable shield / ground termination</t>
        </is>
      </c>
      <c r="D21" s="34" t="inlineStr">
        <is>
          <t>Prevents noise on sin/cos feedback.</t>
        </is>
      </c>
      <c r="E21" s="34" t="inlineStr">
        <is>
          <t>Decide single-point shield landing; keep away from power wiring.</t>
        </is>
      </c>
      <c r="F21" s="34" t="inlineStr">
        <is>
          <t>Resolver cabling</t>
        </is>
      </c>
      <c r="H21" s="34" t="inlineStr">
        <is>
          <t>Plan before wiring</t>
        </is>
      </c>
      <c r="I21" s="34" t="inlineStr"/>
    </row>
  </sheetData>
  <autoFilter ref="B5:I17"/>
  <mergeCells count="1">
    <mergeCell ref="B2:I2"/>
  </mergeCells>
  <conditionalFormatting sqref="B6:Z17">
    <cfRule type="expression" rank="0" priority="2" equalAverage="0" aboveAverage="0" dxfId="7" text="" percent="0" bottom="0">
      <formula>$H6="Confirmed from notes"</formula>
    </cfRule>
    <cfRule type="expression" rank="0" priority="3" equalAverage="0" aboveAverage="0" dxfId="8" text="" percent="0" bottom="0">
      <formula>$H6="Inferred / likely"</formula>
    </cfRule>
    <cfRule type="expression" rank="0" priority="4" equalAverage="0" aboveAverage="0" dxfId="8" text="" percent="0" bottom="0">
      <formula>$H6="Verify in cabinet"</formula>
    </cfRule>
    <cfRule type="expression" rank="0" priority="5" equalAverage="0" aboveAverage="0" dxfId="8" text="" percent="0" bottom="0">
      <formula>$H6="Measure before buying"</formula>
    </cfRule>
    <cfRule type="expression" rank="0" priority="6" equalAverage="0" aboveAverage="0" dxfId="9" text="" percent="0" bottom="0">
      <formula>$H6="Optional"</formula>
    </cfRule>
  </conditionalFormatting>
  <dataValidations count="1">
    <dataValidation sqref="H6:H17" showDropDown="0" showInputMessage="0" showErrorMessage="0" allowBlank="1" type="list" errorStyle="stop" operator="between">
      <formula1>"Confirmed from notes,Inferred / likely,Verify in cabinet,Measure before buying,Optional,TBD"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1"/>
  </sheetPr>
  <dimension ref="B2:H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17" min="1" max="1"/>
    <col width="58" customWidth="1" style="17" min="2" max="2"/>
    <col width="21" customWidth="1" style="17" min="3" max="3"/>
    <col width="58" customWidth="1" style="17" min="4" max="4"/>
    <col width="12" customWidth="1" style="17" min="5" max="5"/>
    <col width="58" customWidth="1" style="17" min="6" max="6"/>
  </cols>
  <sheetData>
    <row r="1" ht="27.75" customHeight="1" s="18"/>
    <row r="2" ht="27.75" customHeight="1" s="18">
      <c r="B2" s="19" t="inlineStr">
        <is>
          <t>Source References and Confidence Notes</t>
        </is>
      </c>
    </row>
    <row r="3" ht="27.75" customHeight="1" s="18">
      <c r="B3" s="20" t="inlineStr">
        <is>
          <t>Local prior-session sources used for this workbook. These are workspace references, not external documents.</t>
        </is>
      </c>
    </row>
    <row r="4" ht="27.75" customHeight="1" s="18"/>
    <row r="5" ht="27.75" customHeight="1" s="18">
      <c r="B5" s="21" t="inlineStr">
        <is>
          <t>Source</t>
        </is>
      </c>
      <c r="C5" s="21" t="inlineStr">
        <is>
          <t>Lines / Location</t>
        </is>
      </c>
      <c r="D5" s="21" t="inlineStr">
        <is>
          <t>What was extracted</t>
        </is>
      </c>
      <c r="E5" s="21" t="inlineStr">
        <is>
          <t>Confidence</t>
        </is>
      </c>
      <c r="F5" s="21" t="inlineStr">
        <is>
          <t>Notes</t>
        </is>
      </c>
    </row>
    <row r="6" ht="27.75" customHeight="1" s="18">
      <c r="B6" s="23" t="inlineStr">
        <is>
          <t>past_session_contexts/sessions/2026-05-25_2026-05-31/2af3baab/conversation.md</t>
        </is>
      </c>
      <c r="C6" s="22" t="inlineStr">
        <is>
          <t>103-130</t>
        </is>
      </c>
      <c r="D6" s="23" t="inlineStr">
        <is>
          <t>Keep original servos/spindle/encoders; PCIe Mesa + analog/encoder daughtercards; field I/O groups.</t>
        </is>
      </c>
      <c r="E6" s="22" t="inlineStr">
        <is>
          <t>Medium</t>
        </is>
      </c>
      <c r="F6" s="23" t="inlineStr">
        <is>
          <t>Some drive signal details were inferred pending model/terminal verification.</t>
        </is>
      </c>
    </row>
    <row r="7" ht="27.75" customHeight="1" s="18">
      <c r="B7" s="23" t="inlineStr">
        <is>
          <t>past_session_contexts/sessions/2026-05-25_2026-05-31/2af3baab/conversation.md</t>
        </is>
      </c>
      <c r="C7" s="23" t="inlineStr">
        <is>
          <t>141-159, 170-205</t>
        </is>
      </c>
      <c r="D7" s="23" t="inlineStr">
        <is>
          <t>Mitsubishi DC servos, FR-SX spindle drive, toolchanger/hydraulics, green breakout PCB, solenoid/prox groups.</t>
        </is>
      </c>
      <c r="E7" s="22" t="inlineStr">
        <is>
          <t>Medium</t>
        </is>
      </c>
      <c r="F7" s="23" t="inlineStr">
        <is>
          <t>Photo-based interpretation; verify terminal labels.</t>
        </is>
      </c>
    </row>
    <row r="8" ht="27.75" customHeight="1" s="18">
      <c r="B8" s="23" t="inlineStr">
        <is>
          <t>past_session_contexts/sessions/2026-05-25_2026-05-31/2af3baab/conversation.md</t>
        </is>
      </c>
      <c r="C8" s="22" t="inlineStr">
        <is>
          <t>228-271</t>
        </is>
      </c>
      <c r="D8" s="23" t="inlineStr">
        <is>
          <t>All-at-once cutover plan, 6i25/7i77-class card concept, analog/spindle/field I/O counts.</t>
        </is>
      </c>
      <c r="E8" s="22" t="inlineStr">
        <is>
          <t>Medium</t>
        </is>
      </c>
      <c r="F8" s="23" t="inlineStr">
        <is>
          <t>Exact Mesa model availability should be checked before ordering.</t>
        </is>
      </c>
    </row>
    <row r="9" ht="27.75" customHeight="1" s="18">
      <c r="B9" s="23" t="inlineStr">
        <is>
          <t>past_session_contexts/sessions/2026-05-25_2026-05-31/2af3baab/conversation.md</t>
        </is>
      </c>
      <c r="C9" s="22" t="inlineStr">
        <is>
          <t>283-399</t>
        </is>
      </c>
      <c r="D9" s="23" t="inlineStr">
        <is>
          <t>Initial logical I/O map: AO0-AO5, ENC0-ENC5, drive faults/enables, homes/limits, ATC, gear, magazine, coolant, panel.</t>
        </is>
      </c>
      <c r="E9" s="22" t="inlineStr">
        <is>
          <t>Medium</t>
        </is>
      </c>
      <c r="F9" s="23" t="inlineStr">
        <is>
          <t>Logical map, not confirmed physical pinout.</t>
        </is>
      </c>
    </row>
    <row r="10" ht="27.75" customHeight="1" s="18">
      <c r="B10" s="23" t="inlineStr">
        <is>
          <t>past_session_contexts/sessions/2026-05-25_2026-05-31/2af3baab/conversation.md</t>
        </is>
      </c>
      <c r="C10" s="22" t="inlineStr">
        <is>
          <t>408-455</t>
        </is>
      </c>
      <c r="D10" s="23" t="inlineStr">
        <is>
          <t>6i25 + 7i77 fit, optional 7i85, 7i84 for bulk I/O near breakout board.</t>
        </is>
      </c>
      <c r="E10" s="22" t="inlineStr">
        <is>
          <t>Medium</t>
        </is>
      </c>
      <c r="F10" s="23" t="inlineStr">
        <is>
          <t>Part numbers should be verified with current Mesa catalog.</t>
        </is>
      </c>
    </row>
    <row r="11" ht="27.75" customHeight="1" s="18">
      <c r="B11" s="23" t="inlineStr">
        <is>
          <t>past_session_contexts/sessions/2026-05-25_2026-05-31/2af3baab/conversation.md</t>
        </is>
      </c>
      <c r="C11" s="22" t="inlineStr">
        <is>
          <t>464-575</t>
        </is>
      </c>
      <c r="D11" s="23" t="inlineStr">
        <is>
          <t>7i77 critical I/O split, 7i84 ATC/hydraulic/coolant split, WHB04B pendant integration.</t>
        </is>
      </c>
      <c r="E11" s="22" t="inlineStr">
        <is>
          <t>Medium</t>
        </is>
      </c>
      <c r="F11" s="23" t="inlineStr">
        <is>
          <t>Useful for cabinet layout.</t>
        </is>
      </c>
    </row>
    <row r="12" ht="27.75" customHeight="1" s="18">
      <c r="B12" s="23" t="inlineStr">
        <is>
          <t>past_session_contexts/sessions/2026-05-25_2026-05-31/2af3baab/conversation.md</t>
        </is>
      </c>
      <c r="C12" s="22" t="inlineStr">
        <is>
          <t>584-814</t>
        </is>
      </c>
      <c r="D12" s="23" t="inlineStr">
        <is>
          <t>CSV-style starter I/O rows and encoder/analog rows used as base table content.</t>
        </is>
      </c>
      <c r="E12" s="22" t="inlineStr">
        <is>
          <t>Medium</t>
        </is>
      </c>
      <c r="F12" s="23" t="inlineStr">
        <is>
          <t>Rows imported and expanded into workbook with verification/status columns.</t>
        </is>
      </c>
    </row>
    <row r="13" ht="27.75" customHeight="1" s="18">
      <c r="B13" s="23" t="inlineStr">
        <is>
          <t>past_session_contexts/sessions/2026-06-01_2026-06-07/ea226a32/conversation.md</t>
        </is>
      </c>
      <c r="C13" s="23" t="inlineStr">
        <is>
          <t>17-26, 37-60, 69-112</t>
        </is>
      </c>
      <c r="D13" s="23" t="inlineStr">
        <is>
          <t>HR-11F-24 PSU terminal labels, P24/G24 distribution, terminal-list column recommendations, labels INHRLS/DEC2/CH4.</t>
        </is>
      </c>
      <c r="E13" s="22" t="inlineStr">
        <is>
          <t>Medium</t>
        </is>
      </c>
      <c r="F13" s="23" t="inlineStr">
        <is>
          <t>Photo-based; trace before disturbing PSU or terminal strip.</t>
        </is>
      </c>
    </row>
    <row r="14" ht="27.75" customHeight="1" s="18">
      <c r="B14" s="23" t="inlineStr">
        <is>
          <t>past_session_contexts/sessions/2026-05-25_2026-05-31/fe3144f4/conversation.md</t>
        </is>
      </c>
      <c r="C14" s="22" t="inlineStr">
        <is>
          <t>9-33</t>
        </is>
      </c>
      <c r="D14" s="23" t="inlineStr">
        <is>
          <t>Overall goal: Mazak-to-Mesa-to-LinuxCNC retrofit and need for HAL/INI/I/O map work.</t>
        </is>
      </c>
      <c r="E14" s="22" t="inlineStr">
        <is>
          <t>High</t>
        </is>
      </c>
      <c r="F14" s="22" t="inlineStr">
        <is>
          <t>Context only.</t>
        </is>
      </c>
    </row>
    <row r="15" ht="27.75" customHeight="1" s="18">
      <c r="B15" s="24" t="inlineStr">
        <is>
          <t>Current conversation decision</t>
        </is>
      </c>
      <c r="C15" s="24" t="inlineStr">
        <is>
          <t>2026-06-01</t>
        </is>
      </c>
      <c r="D15" s="24" t="inlineStr">
        <is>
          <t>User agreed tower PC with PCIe Mesa in cabinet is the selected architecture.</t>
        </is>
      </c>
      <c r="E15" s="24" t="inlineStr">
        <is>
          <t>High</t>
        </is>
      </c>
      <c r="F15" s="24" t="inlineStr">
        <is>
          <t>Workbook and skeleton package updated to treat Ethernet/laptop as fallback only.</t>
        </is>
      </c>
    </row>
    <row r="16" ht="27.75" customHeight="1" s="18">
      <c r="B16" s="24" t="inlineStr">
        <is>
          <t>Current conversation task</t>
        </is>
      </c>
      <c r="C16" s="24" t="inlineStr">
        <is>
          <t>2026-06-01</t>
        </is>
      </c>
      <c r="D16" s="24" t="inlineStr">
        <is>
          <t>Added Mesa firmware checklist for selected PCIe cabinet-tower architecture.</t>
        </is>
      </c>
      <c r="E16" s="24" t="inlineStr">
        <is>
          <t>High</t>
        </is>
      </c>
      <c r="F16" s="24" t="inlineStr">
        <is>
          <t>Use this sheet to collect exact card, firmware, readhmid, and HAL pin outputs before finalizing skeleton files.</t>
        </is>
      </c>
    </row>
    <row r="17" ht="28.35" customHeight="1" s="18">
      <c r="B17" s="24" t="inlineStr">
        <is>
          <t>Current conversation task</t>
        </is>
      </c>
      <c r="C17" s="24" t="inlineStr">
        <is>
          <t>2026-06-01</t>
        </is>
      </c>
      <c r="D17" s="24" t="inlineStr">
        <is>
          <t>Added cabinet photo checklist for Mesa ordering and HAL finalization.</t>
        </is>
      </c>
      <c r="E17" s="24" t="inlineStr">
        <is>
          <t>High</t>
        </is>
      </c>
      <c r="F17" s="24" t="inlineStr">
        <is>
          <t>Checklist focuses on photos needed to confirm PCIe Mesa architecture and wiring details.</t>
        </is>
      </c>
    </row>
    <row r="18">
      <c r="B18" s="34" t="inlineStr">
        <is>
          <t>LinuxCNC forum: Servo PID tuning (VQC 15/40)</t>
        </is>
      </c>
      <c r="C18" s="33" t="inlineStr">
        <is>
          <t>https://forum.linuxcnc.org/10-advanced-configuration/32061-servo-pid-tuning-can-t-clamp-down-on-overshoot</t>
        </is>
      </c>
      <c r="D18" s="34" t="inlineStr">
        <is>
          <t>VQC 15/40 sister retrofit: TRA-31 drives, HD81-12S motors, plain 7i49 @ 5kHz vs 4.5kHz resolver spec</t>
        </is>
      </c>
      <c r="E18" s="33" t="inlineStr">
        <is>
          <t>High</t>
        </is>
      </c>
      <c r="F18" s="34" t="inlineStr">
        <is>
          <t>Primary basis for plain-7i49 + 5kHz baseline.</t>
        </is>
      </c>
    </row>
    <row r="19">
      <c r="B19" s="34" t="inlineStr">
        <is>
          <t>Mesa 7i49 manual</t>
        </is>
      </c>
      <c r="C19" s="33" t="inlineStr">
        <is>
          <t>http://www.mesanet.com/pdf/motion/7i49man.pdf</t>
        </is>
      </c>
      <c r="D19" s="34" t="inlineStr">
        <is>
          <t>7i49 resolver interface: 2.5/5/10 kHz excitation, 2:1 ratio (~2V drive/~1V return), W2 half-drive, RESDRV/RESSIN/RESCOS</t>
        </is>
      </c>
      <c r="E19" s="33" t="inlineStr">
        <is>
          <t>High</t>
        </is>
      </c>
      <c r="F19" s="34" t="inlineStr">
        <is>
          <t>Hardware reference for wiring and excitation.</t>
        </is>
      </c>
    </row>
    <row r="20">
      <c r="B20" s="34" t="inlineStr">
        <is>
          <t>srdco/MazakVQC1540 (GitHub)</t>
        </is>
      </c>
      <c r="C20" s="33" t="inlineStr">
        <is>
          <t>https://github.com/srdco/MazakVQC1540</t>
        </is>
      </c>
      <c r="D20" s="34" t="inlineStr">
        <is>
          <t>LinuxCNC configs for the sister VQC 15/40 retrofit</t>
        </is>
      </c>
      <c r="E20" s="33" t="inlineStr">
        <is>
          <t>High</t>
        </is>
      </c>
      <c r="F20" s="34" t="inlineStr">
        <is>
          <t>Cross-check HAL/resolver config against this build.</t>
        </is>
      </c>
    </row>
    <row r="21">
      <c r="B21" s="34" t="inlineStr">
        <is>
          <t>User thread: Mesa conversion for Mazak VQC 20/40 M2</t>
        </is>
      </c>
      <c r="C21" s="33" t="inlineStr">
        <is>
          <t>https://forum.linuxcnc.org/27-driver-boards/58767-mesa-conversion-for-a-mazak-vqc-20-40-m2-mill</t>
        </is>
      </c>
      <c r="D21" s="34" t="inlineStr">
        <is>
          <t>This machine conversion thread (M2 control)</t>
        </is>
      </c>
      <c r="E21" s="33" t="inlineStr">
        <is>
          <t>High</t>
        </is>
      </c>
      <c r="F21" s="34" t="inlineStr">
        <is>
          <t>Project discussion thread.</t>
        </is>
      </c>
    </row>
    <row r="22">
      <c r="B22" s="34" t="inlineStr">
        <is>
          <t>Mitsubishi TRA-31 drive manual</t>
        </is>
      </c>
      <c r="C22" s="33" t="inlineStr">
        <is>
          <t>https://us.mitsubishielectric.com/fa/en/support/technical-support/knowledge-base/getdocument/?docid=3E26SJWH3ZZR-24-3709</t>
        </is>
      </c>
      <c r="D22" s="34" t="inlineStr">
        <is>
          <t>TRA-31 servo drive: velocity loop on tachometer, not resolver</t>
        </is>
      </c>
      <c r="E22" s="33" t="inlineStr">
        <is>
          <t>Medium</t>
        </is>
      </c>
      <c r="F22" s="34" t="inlineStr">
        <is>
          <t>Confirms 7i49 can own resolver excitation.</t>
        </is>
      </c>
    </row>
    <row r="23">
      <c r="B23" s="34" t="inlineStr">
        <is>
          <t>Meldas YM2 / Mazatrol M2 maintenance manual</t>
        </is>
      </c>
      <c r="C23" s="33" t="inlineStr">
        <is>
          <t>https://us.mitsubishielectric.com/fa/en/support/technical-support/knowledge-base/getdocument/?docid=3E26SJWH3ZZR-24-2231</t>
        </is>
      </c>
      <c r="D23" s="34" t="inlineStr">
        <is>
          <t>Original resolver wiring context (two-phase excitation into stator, phase from rotor)</t>
        </is>
      </c>
      <c r="E23" s="33" t="inlineStr">
        <is>
          <t>Medium</t>
        </is>
      </c>
      <c r="F23" s="34" t="inlineStr">
        <is>
          <t>Basis for the reverse-wiring / ohmmeter warning.</t>
        </is>
      </c>
    </row>
  </sheetData>
  <autoFilter ref="B5:F14"/>
  <mergeCells count="1">
    <mergeCell ref="B2:H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2026-06-02T02:10:38Z</dcterms:created>
  <dcterms:modified xmlns:dcterms="http://purl.org/dc/terms/" xmlns:xsi="http://www.w3.org/2001/XMLSchema-instance" xsi:type="dcterms:W3CDTF">2026-07-06T01:26:40Z</dcterms:modified>
  <cp:revision>0</cp:revision>
</cp:coreProperties>
</file>