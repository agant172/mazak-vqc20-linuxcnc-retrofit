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5967f17d3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4299029f624e8b"/>
    <x:sheet xmlns:r="http://schemas.openxmlformats.org/officeDocument/2006/relationships" name="Current Pin Authority" sheetId="2" r:id="R999b9923a91943b7"/>
    <x:sheet xmlns:r="http://schemas.openxmlformats.org/officeDocument/2006/relationships" name="Authority Summary" sheetId="3" r:id="R1e080b4e39b2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8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bottom style="medium">
        <x:color rgb="FFB7C9D6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4" xfId="0" applyNumberFormat="1" applyFont="1" applyFill="1" applyBorder="1"/>
    <x:xf numFmtId="0" fontId="3" fillId="5" borderId="8" xfId="0" applyNumberFormat="1" applyFont="1" applyFill="1" applyBorder="1"/>
    <x:xf numFmtId="0" fontId="3" fillId="5" borderId="7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1" fillId="2" borderId="17" xfId="0" applyNumberFormat="1" applyFont="1" applyFill="1" applyBorder="1"/>
    <x:xf numFmtId="0" fontId="1" fillId="2" borderId="17" xfId="0" applyNumberFormat="1" applyFont="1" applyFill="1" applyBorder="1" applyAlignment="1">
      <x:alignment wrapText="1"/>
    </x:xf>
    <x:xf numFmtId="0" fontId="1" fillId="2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B6573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a1eb08324724" /><Relationship Type="http://schemas.openxmlformats.org/officeDocument/2006/relationships/theme" Target="/xl/theme/theme1.xml" Id="R939cfd07ec19401f" /><Relationship Type="http://schemas.openxmlformats.org/officeDocument/2006/relationships/sharedStrings" Target="/xl/sharedStrings.xml" Id="R28365754baa4489d" /><Relationship Type="http://schemas.openxmlformats.org/officeDocument/2006/relationships/worksheet" Target="/xl/worksheets/sheet1.xml" Id="Rd64299029f624e8b" /><Relationship Type="http://schemas.openxmlformats.org/officeDocument/2006/relationships/worksheet" Target="/xl/worksheets/sheet2.xml" Id="R999b9923a91943b7" /><Relationship Type="http://schemas.openxmlformats.org/officeDocument/2006/relationships/worksheet" Target="/xl/worksheets/sheet3.xml" Id="R1e080b4e39b24dff" /></Relationships>
</file>

<file path=xl/tables/table1.xml><?xml version="1.0" encoding="utf-8"?>
<x:table xmlns:x="http://schemas.openxmlformats.org/spreadsheetml/2006/main" id="1" name="CurrentPinAuthority" displayName="CurrentPinAuthority" ref="A1:K133" headerRowCount="1" totalsRowCount="0" totalsRowShown="0">
  <x:autoFilter ref="A1:K133"/>
  <x:tableColumns count="11">
    <x:tableColumn id="1" name="signal_id"/>
    <x:tableColumn id="2" name="subsystem"/>
    <x:tableColumn id="3" name="direction"/>
    <x:tableColumn id="4" name="mesa_card"/>
    <x:tableColumn id="5" name="connector"/>
    <x:tableColumn id="6" name="pin_channel"/>
    <x:tableColumn id="7" name="hal_net"/>
    <x:tableColumn id="8" name="field_point_or_load"/>
    <x:tableColumn id="9" name="authority_status"/>
    <x:tableColumn id="10" name="primary_source"/>
    <x:tableColumn id="11" name="cleanup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18de91af44b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9" customHeight="1">
      <x:c r="A1" s="4" t="str">
        <x:v>Mazak VQC 20/40 Current I/O Authority Workbook</x:v>
      </x:c>
      <x:c r="B1" s="4" t="str">
        <x:v>Mazak VQC 20/40 Current I/O Authority Workbook</x:v>
      </x:c>
      <x:c r="C1" s="4" t="str">
        <x:v>Mazak VQC 20/40 Current I/O Authority Workbook</x:v>
      </x:c>
      <x:c r="D1" s="4" t="str">
        <x:v>Mazak VQC 20/40 Current I/O Authority Workbook</x:v>
      </x:c>
      <x:c r="E1" s="4" t="str">
        <x:v>Mazak VQC 20/40 Current I/O Authority Workbook</x:v>
      </x:c>
      <x:c r="F1" s="4" t="str">
        <x:v>Mazak VQC 20/40 Current I/O Authority Workbook</x:v>
      </x:c>
      <x:c r="G1" s="4" t="str">
        <x:v>Mazak VQC 20/40 Current I/O Authority Workbook</x:v>
      </x:c>
      <x:c r="H1" s="4" t="str">
        <x:v>Mazak VQC 20/40 Current I/O Authority Workbook</x:v>
      </x:c>
    </x:row>
    <x:row r="2" ht="29" customHeight="1">
      <x:c r="A2" s="4" t="str">
        <x:v>Mazak VQC 20/40 Current I/O Authority Workbook</x:v>
      </x:c>
      <x:c r="B2" s="4" t="str">
        <x:v>Mazak VQC 20/40 Current I/O Authority Workbook</x:v>
      </x:c>
      <x:c r="C2" s="4" t="str">
        <x:v>Mazak VQC 20/40 Current I/O Authority Workbook</x:v>
      </x:c>
      <x:c r="D2" s="4" t="str">
        <x:v>Mazak VQC 20/40 Current I/O Authority Workbook</x:v>
      </x:c>
      <x:c r="E2" s="4" t="str">
        <x:v>Mazak VQC 20/40 Current I/O Authority Workbook</x:v>
      </x:c>
      <x:c r="F2" s="4" t="str">
        <x:v>Mazak VQC 20/40 Current I/O Authority Workbook</x:v>
      </x:c>
      <x:c r="G2" s="4" t="str">
        <x:v>Mazak VQC 20/40 Current I/O Authority Workbook</x:v>
      </x:c>
      <x:c r="H2" s="4" t="str">
        <x:v>Mazak VQC 20/40 Current I/O Authority Workbook</x:v>
      </x:c>
    </x:row>
    <x:row r="3">
      <x:c r="A3" s="19" t="str">
        <x:v>Generated 2026-08-09 from mesa/current_pin_authority.csv for I/O planning and parts coordination. The CSV is the source of truth; regenerate this workbook after authority changes.</x:v>
      </x:c>
      <x:c r="B3" s="20" t="str">
        <x:v>Generated 2026-08-09 from mesa/current_pin_authority.csv for I/O planning and parts coordination. The CSV is the source of truth; regenerate this workbook after authority changes.</x:v>
      </x:c>
      <x:c r="C3" s="20" t="str">
        <x:v>Generated 2026-08-09 from mesa/current_pin_authority.csv for I/O planning and parts coordination. The CSV is the source of truth; regenerate this workbook after authority changes.</x:v>
      </x:c>
      <x:c r="D3" s="20" t="str">
        <x:v>Generated 2026-08-09 from mesa/current_pin_authority.csv for I/O planning and parts coordination. The CSV is the source of truth; regenerate this workbook after authority changes.</x:v>
      </x:c>
      <x:c r="E3" s="20" t="str">
        <x:v>Generated 2026-08-09 from mesa/current_pin_authority.csv for I/O planning and parts coordination. The CSV is the source of truth; regenerate this workbook after authority changes.</x:v>
      </x:c>
      <x:c r="F3" s="20" t="str">
        <x:v>Generated 2026-08-09 from mesa/current_pin_authority.csv for I/O planning and parts coordination. The CSV is the source of truth; regenerate this workbook after authority changes.</x:v>
      </x:c>
      <x:c r="G3" s="20" t="str">
        <x:v>Generated 2026-08-09 from mesa/current_pin_authority.csv for I/O planning and parts coordination. The CSV is the source of truth; regenerate this workbook after authority changes.</x:v>
      </x:c>
      <x:c r="H3" s="21" t="str">
        <x:v>Generated 2026-08-09 from mesa/current_pin_authority.csv for I/O planning and parts coordination. The CSV is the source of truth; regenerate this workbook after authority changes.</x:v>
      </x:c>
    </x:row>
    <x:row r="4">
      <x:c r="A4" s="22" t="str">
        <x:v>Generated 2026-08-09 from mesa/current_pin_authority.csv for I/O planning and parts coordination. The CSV is the source of truth; regenerate this workbook after authority changes.</x:v>
      </x:c>
      <x:c r="B4" s="23" t="str">
        <x:v>Generated 2026-08-09 from mesa/current_pin_authority.csv for I/O planning and parts coordination. The CSV is the source of truth; regenerate this workbook after authority changes.</x:v>
      </x:c>
      <x:c r="C4" s="23" t="str">
        <x:v>Generated 2026-08-09 from mesa/current_pin_authority.csv for I/O planning and parts coordination. The CSV is the source of truth; regenerate this workbook after authority changes.</x:v>
      </x:c>
      <x:c r="D4" s="23" t="str">
        <x:v>Generated 2026-08-09 from mesa/current_pin_authority.csv for I/O planning and parts coordination. The CSV is the source of truth; regenerate this workbook after authority changes.</x:v>
      </x:c>
      <x:c r="E4" s="23" t="str">
        <x:v>Generated 2026-08-09 from mesa/current_pin_authority.csv for I/O planning and parts coordination. The CSV is the source of truth; regenerate this workbook after authority changes.</x:v>
      </x:c>
      <x:c r="F4" s="23" t="str">
        <x:v>Generated 2026-08-09 from mesa/current_pin_authority.csv for I/O planning and parts coordination. The CSV is the source of truth; regenerate this workbook after authority changes.</x:v>
      </x:c>
      <x:c r="G4" s="23" t="str">
        <x:v>Generated 2026-08-09 from mesa/current_pin_authority.csv for I/O planning and parts coordination. The CSV is the source of truth; regenerate this workbook after authority changes.</x:v>
      </x:c>
      <x:c r="H4" s="24" t="str">
        <x:v>Generated 2026-08-09 from mesa/current_pin_authority.csv for I/O planning and parts coordination. The CSV is the source of truth; regenerate this workbook after authority changes.</x:v>
      </x:c>
    </x:row>
    <x:row r="6">
      <x:c r="A6" s="29" t="str">
        <x:v>Workbook metric</x:v>
      </x:c>
      <x:c r="B6" s="30" t="str">
        <x:v>Current value</x:v>
      </x:c>
    </x:row>
    <x:row r="7">
      <x:c r="A7" s="33" t="str">
        <x:v>Authority rows</x:v>
      </x:c>
      <x:c r="B7" s="34" t="n">
        <x:f>COUNTA('Current Pin Authority'!$A$2:$A$133)</x:f>
        <x:v>132</x:v>
      </x:c>
    </x:row>
    <x:row r="8">
      <x:c r="A8" s="35" t="str">
        <x:v>Authority statuses</x:v>
      </x:c>
      <x:c r="B8" s="36" t="n">
        <x:f>COUNTA('Authority Summary'!$A$4:$A$13)</x:f>
        <x:v>10</x:v>
      </x:c>
    </x:row>
    <x:row r="9">
      <x:c r="A9" s="35" t="str">
        <x:v>Mesa card labels</x:v>
      </x:c>
      <x:c r="B9" s="36" t="n">
        <x:f>COUNTA('Authority Summary'!$D$4:$D$9)</x:f>
        <x:v>6</x:v>
      </x:c>
    </x:row>
    <x:row r="10">
      <x:c r="A10" s="37" t="str">
        <x:v>Workbook architecture</x:v>
      </x:c>
      <x:c r="B10" s="38" t="str">
        <x:f>"7i80HDT + 7i44 + 7i49 + two 7i84U"</x:f>
        <x:v>7i80HDT + 7i44 + 7i49 + two 7i84U</x:v>
      </x:c>
    </x:row>
    <x:row r="12">
      <x:c r="A12" s="29" t="str">
        <x:v>Selected hardware</x:v>
      </x:c>
      <x:c r="B12" s="30" t="str">
        <x:v>Current assignment</x:v>
      </x:c>
    </x:row>
    <x:row r="13">
      <x:c r="A13" s="45" t="str">
        <x:v>Host</x:v>
      </x:c>
      <x:c r="B13" s="46" t="str">
        <x:v>Mesa 7i80HDT over Ethernet</x:v>
      </x:c>
    </x:row>
    <x:row r="14">
      <x:c r="A14" s="47" t="str">
        <x:v>P1</x:v>
      </x:c>
      <x:c r="B14" s="48" t="str">
        <x:v>7i44 smart-serial breakout; channels 0/1 serve 7i84U-A/B</x:v>
      </x:c>
    </x:row>
    <x:row r="15">
      <x:c r="A15" s="47" t="str">
        <x:v>P2</x:v>
      </x:c>
      <x:c r="B15" s="48" t="str">
        <x:v>Plain 7i49; X/Y/Z resolvers and X/Z/Y/spindle analog velocity commands</x:v>
      </x:c>
    </x:row>
    <x:row r="16">
      <x:c r="A16" s="47" t="str">
        <x:v>P3</x:v>
      </x:c>
      <x:c r="B16" s="48" t="str">
        <x:v>Unused/spare; no 24 V field wiring</x:v>
      </x:c>
    </x:row>
    <x:row r="17">
      <x:c r="A17" s="49" t="str">
        <x:v>Field I/O</x:v>
      </x:c>
      <x:c r="B17" s="50" t="str">
        <x:v>Two 7i84U cards: A and B</x:v>
      </x:c>
    </x:row>
    <x:row r="19">
      <x:c r="A19" s="70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19" s="72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0">
      <x:c r="A20" s="73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20" s="75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1">
      <x:c r="A21" s="76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21" s="78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3">
      <x:c r="A23" s="29" t="str">
        <x:v>Worksheet</x:v>
      </x:c>
      <x:c r="B23" s="30" t="str">
        <x:v>Purpose</x:v>
      </x:c>
    </x:row>
    <x:row r="24">
      <x:c r="A24" s="45" t="str">
        <x:v>README</x:v>
      </x:c>
      <x:c r="B24" s="46" t="str">
        <x:v>Architecture, scope, safety notice, and generation source.</x:v>
      </x:c>
    </x:row>
    <x:row r="25">
      <x:c r="A25" s="47" t="str">
        <x:v>Current Pin Authority</x:v>
      </x:c>
      <x:c r="B25" s="48" t="str">
        <x:v>Exact 132-row mirror of mesa/current_pin_authority.csv.</x:v>
      </x:c>
    </x:row>
    <x:row r="26">
      <x:c r="A26" s="49" t="str">
        <x:v>Authority Summary</x:v>
      </x:c>
      <x:c r="B26" s="50" t="str">
        <x:v>Formula-driven counts by status, Mesa card, and direction.</x:v>
      </x:c>
    </x:row>
  </x:sheetData>
  <x:mergeCells>
    <x:mergeCell ref="A1:H2"/>
    <x:mergeCell ref="A3:H4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6" hidden="0" customWidth="1"/>
    <x:col min="4" max="4" width="15" hidden="0" customWidth="1"/>
    <x:col min="5" max="5" width="24" hidden="0" customWidth="1"/>
    <x:col min="6" max="6" width="23" hidden="0" customWidth="1"/>
    <x:col min="7" max="7" width="25" hidden="0" customWidth="1"/>
    <x:col min="8" max="8" width="42" hidden="0" customWidth="1"/>
    <x:col min="9" max="9" width="24" hidden="0" customWidth="1"/>
    <x:col min="10" max="10" width="42" hidden="0" customWidth="1"/>
    <x:col min="11" max="11" width="68" hidden="0" customWidth="1"/>
  </x:cols>
  <x:sheetData>
    <x:row r="1" ht="34" customHeight="1">
      <x:c r="A1" s="81" t="str">
        <x:v>signal_id</x:v>
      </x:c>
      <x:c r="B1" s="81" t="str">
        <x:v>subsystem</x:v>
      </x:c>
      <x:c r="C1" s="81" t="str">
        <x:v>direction</x:v>
      </x:c>
      <x:c r="D1" s="81" t="str">
        <x:v>mesa_card</x:v>
      </x:c>
      <x:c r="E1" s="81" t="str">
        <x:v>connector</x:v>
      </x:c>
      <x:c r="F1" s="81" t="str">
        <x:v>pin_channel</x:v>
      </x:c>
      <x:c r="G1" s="81" t="str">
        <x:v>hal_net</x:v>
      </x:c>
      <x:c r="H1" s="81" t="str">
        <x:v>field_point_or_load</x:v>
      </x:c>
      <x:c r="I1" s="81" t="str">
        <x:v>authority_status</x:v>
      </x:c>
      <x:c r="J1" s="81" t="str">
        <x:v>primary_source</x:v>
      </x:c>
      <x:c r="K1" s="81" t="str">
        <x:v>cleanup_notes</x:v>
      </x:c>
    </x:row>
    <x:row r="2">
      <x:c r="A2" s="82" t="str">
        <x:v>X_RESOLVER</x:v>
      </x:c>
      <x:c r="B2" s="82" t="str">
        <x:v>Motion</x:v>
      </x:c>
      <x:c r="C2" s="82" t="str">
        <x:v>RESOLVER_IN</x:v>
      </x:c>
      <x:c r="D2" s="82" t="str">
        <x:v>7i49</x:v>
      </x:c>
      <x:c r="E2" s="82" t="str">
        <x:v>P2 Resolver channel</x:v>
      </x:c>
      <x:c r="F2" s="82" t="str">
        <x:v>RES0</x:v>
      </x:c>
      <x:c r="G2" s="82" t="str">
        <x:v>x-pos-fb</x:v>
      </x:c>
      <x:c r="H2" s="83" t="str">
        <x:v>Tamagawa TS2014N X resolver</x:v>
      </x:c>
      <x:c r="I2" s="83" t="str">
        <x:v>COMMISSIONING_PENDING</x:v>
      </x:c>
      <x:c r="J2" s="83" t="str">
        <x:v>motion_7i80hdt.hal</x:v>
      </x:c>
      <x:c r="K2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3">
      <x:c r="A3" s="82" t="str">
        <x:v>Y_RESOLVER</x:v>
      </x:c>
      <x:c r="B3" s="82" t="str">
        <x:v>Motion</x:v>
      </x:c>
      <x:c r="C3" s="82" t="str">
        <x:v>RESOLVER_IN</x:v>
      </x:c>
      <x:c r="D3" s="82" t="str">
        <x:v>7i49</x:v>
      </x:c>
      <x:c r="E3" s="82" t="str">
        <x:v>P2 Resolver channel</x:v>
      </x:c>
      <x:c r="F3" s="82" t="str">
        <x:v>RES1</x:v>
      </x:c>
      <x:c r="G3" s="82" t="str">
        <x:v>y-pos-fb</x:v>
      </x:c>
      <x:c r="H3" s="83" t="str">
        <x:v>Tamagawa TS2014N Y resolver</x:v>
      </x:c>
      <x:c r="I3" s="83" t="str">
        <x:v>COMMISSIONING_PENDING</x:v>
      </x:c>
      <x:c r="J3" s="83" t="str">
        <x:v>motion_7i80hdt.hal</x:v>
      </x:c>
      <x:c r="K3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4">
      <x:c r="A4" s="82" t="str">
        <x:v>Z_RESOLVER</x:v>
      </x:c>
      <x:c r="B4" s="82" t="str">
        <x:v>Motion</x:v>
      </x:c>
      <x:c r="C4" s="82" t="str">
        <x:v>RESOLVER_IN</x:v>
      </x:c>
      <x:c r="D4" s="82" t="str">
        <x:v>7i49</x:v>
      </x:c>
      <x:c r="E4" s="82" t="str">
        <x:v>P2 Resolver channel</x:v>
      </x:c>
      <x:c r="F4" s="82" t="str">
        <x:v>RES2</x:v>
      </x:c>
      <x:c r="G4" s="82" t="str">
        <x:v>z-pos-fb</x:v>
      </x:c>
      <x:c r="H4" s="83" t="str">
        <x:v>Tamagawa TS2014N Z resolver</x:v>
      </x:c>
      <x:c r="I4" s="83" t="str">
        <x:v>COMMISSIONING_PENDING</x:v>
      </x:c>
      <x:c r="J4" s="83" t="str">
        <x:v>motion_7i80hdt.hal</x:v>
      </x:c>
      <x:c r="K4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5">
      <x:c r="A5" s="82" t="str">
        <x:v>SPINDLE_ENCODER</x:v>
      </x:c>
      <x:c r="B5" s="82" t="str">
        <x:v>Spindle</x:v>
      </x:c>
      <x:c r="C5" s="82" t="str">
        <x:v>ENCODER_IN</x:v>
      </x:c>
      <x:c r="D5" s="82" t="str">
        <x:v>none</x:v>
      </x:c>
      <x:c r="E5" s="82" t="str">
        <x:v>UNASSIGNED</x:v>
      </x:c>
      <x:c r="F5" s="82" t="str">
        <x:v>none</x:v>
      </x:c>
      <x:c r="G5" s="82" t="str">
        <x:v>none</x:v>
      </x:c>
      <x:c r="H5" s="83" t="str">
        <x:v>Machine-side A/B/Z spindle encoder if fitted</x:v>
      </x:c>
      <x:c r="I5" s="83" t="str">
        <x:v>UNBOUND</x:v>
      </x:c>
      <x:c r="J5" s="83" t="str">
        <x:v>motion_7i80hdt.hal</x:v>
      </x:c>
      <x:c r="K5" s="83" t="str">
        <x:v>Current target leaves P3 empty and requests num_encoders=0. Identify encoder model/electrical format and select a compatible receiver/daughter interface plus IDROM-proven pins before allocation.</x:v>
      </x:c>
    </x:row>
    <x:row r="6">
      <x:c r="A6" s="82" t="str">
        <x:v>RES3_SPARE</x:v>
      </x:c>
      <x:c r="B6" s="82" t="str">
        <x:v>Motion</x:v>
      </x:c>
      <x:c r="C6" s="82" t="str">
        <x:v>RESOLVER_IN</x:v>
      </x:c>
      <x:c r="D6" s="82" t="str">
        <x:v>7i49</x:v>
      </x:c>
      <x:c r="E6" s="82" t="str">
        <x:v>P2 Resolver channel</x:v>
      </x:c>
      <x:c r="F6" s="82" t="str">
        <x:v>RES3</x:v>
      </x:c>
      <x:c r="G6" s="82" t="str">
        <x:v>none</x:v>
      </x:c>
      <x:c r="H6" s="83" t="str">
        <x:v>7i49 spare resolver channel</x:v>
      </x:c>
      <x:c r="I6" s="83" t="str">
        <x:v>SPARE</x:v>
      </x:c>
      <x:c r="J6" s="83" t="str">
        <x:v>mesa_firmware_checklist.md</x:v>
      </x:c>
      <x:c r="K6" s="83" t="str">
        <x:v>Available for future resolver feedback if firmware provisions it</x:v>
      </x:c>
    </x:row>
    <x:row r="7">
      <x:c r="A7" s="82" t="str">
        <x:v>RES4_SPARE</x:v>
      </x:c>
      <x:c r="B7" s="82" t="str">
        <x:v>Motion</x:v>
      </x:c>
      <x:c r="C7" s="82" t="str">
        <x:v>RESOLVER_IN</x:v>
      </x:c>
      <x:c r="D7" s="82" t="str">
        <x:v>7i49</x:v>
      </x:c>
      <x:c r="E7" s="82" t="str">
        <x:v>P2 Resolver channel</x:v>
      </x:c>
      <x:c r="F7" s="82" t="str">
        <x:v>RES4</x:v>
      </x:c>
      <x:c r="G7" s="82" t="str">
        <x:v>none</x:v>
      </x:c>
      <x:c r="H7" s="83" t="str">
        <x:v>7i49 spare resolver channel</x:v>
      </x:c>
      <x:c r="I7" s="83" t="str">
        <x:v>SPARE</x:v>
      </x:c>
      <x:c r="J7" s="83" t="str">
        <x:v>mesa_firmware_checklist.md</x:v>
      </x:c>
      <x:c r="K7" s="83" t="str">
        <x:v>Available for future resolver feedback if firmware provisions it</x:v>
      </x:c>
    </x:row>
    <x:row r="8">
      <x:c r="A8" s="82" t="str">
        <x:v>RES5_SPARE</x:v>
      </x:c>
      <x:c r="B8" s="82" t="str">
        <x:v>Motion</x:v>
      </x:c>
      <x:c r="C8" s="82" t="str">
        <x:v>RESOLVER_IN</x:v>
      </x:c>
      <x:c r="D8" s="82" t="str">
        <x:v>7i49</x:v>
      </x:c>
      <x:c r="E8" s="82" t="str">
        <x:v>P2 Resolver channel</x:v>
      </x:c>
      <x:c r="F8" s="82" t="str">
        <x:v>RES5</x:v>
      </x:c>
      <x:c r="G8" s="82" t="str">
        <x:v>none</x:v>
      </x:c>
      <x:c r="H8" s="83" t="str">
        <x:v>7i49 spare resolver channel</x:v>
      </x:c>
      <x:c r="I8" s="83" t="str">
        <x:v>SPARE</x:v>
      </x:c>
      <x:c r="J8" s="83" t="str">
        <x:v>mesa_firmware_checklist.md</x:v>
      </x:c>
      <x:c r="K8" s="83" t="str">
        <x:v>Available for future resolver feedback if firmware provisions it</x:v>
      </x:c>
    </x:row>
    <x:row r="9">
      <x:c r="A9" s="82" t="str">
        <x:v>X_AXIS_CMD</x:v>
      </x:c>
      <x:c r="B9" s="82" t="str">
        <x:v>Motion</x:v>
      </x:c>
      <x:c r="C9" s="82" t="str">
        <x:v>ANALOG_OUT</x:v>
      </x:c>
      <x:c r="D9" s="82" t="str">
        <x:v>7i49</x:v>
      </x:c>
      <x:c r="E9" s="82" t="str">
        <x:v>P2 Analog TB</x:v>
      </x:c>
      <x:c r="F9" s="82" t="str">
        <x:v>AOUT0</x:v>
      </x:c>
      <x:c r="G9" s="82" t="str">
        <x:v>x-vel-cmd</x:v>
      </x:c>
      <x:c r="H9" s="83" t="str">
        <x:v>X servo analog velocity command to MELDAS TRA</x:v>
      </x:c>
      <x:c r="I9" s="83" t="str">
        <x:v>COMMISSIONING_PENDING</x:v>
      </x:c>
      <x:c r="J9" s="83" t="str">
        <x:v>motion_7i80hdt.hal</x:v>
      </x:c>
      <x:c r="K9" s="83" t="str">
        <x:v>7i49 pwmgen.00 driven by pid.x.output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0">
      <x:c r="A10" s="82" t="str">
        <x:v>Z_AXIS_CMD</x:v>
      </x:c>
      <x:c r="B10" s="82" t="str">
        <x:v>Motion</x:v>
      </x:c>
      <x:c r="C10" s="82" t="str">
        <x:v>ANALOG_OUT</x:v>
      </x:c>
      <x:c r="D10" s="82" t="str">
        <x:v>7i49</x:v>
      </x:c>
      <x:c r="E10" s="82" t="str">
        <x:v>P2 Analog TB</x:v>
      </x:c>
      <x:c r="F10" s="82" t="str">
        <x:v>AOUT1</x:v>
      </x:c>
      <x:c r="G10" s="82" t="str">
        <x:v>z-vel-cmd</x:v>
      </x:c>
      <x:c r="H10" s="83" t="str">
        <x:v>Z servo analog velocity command to MELDAS TRA</x:v>
      </x:c>
      <x:c r="I10" s="83" t="str">
        <x:v>COMMISSIONING_PENDING</x:v>
      </x:c>
      <x:c r="J10" s="83" t="str">
        <x:v>motion_7i80hdt.hal</x:v>
      </x:c>
      <x:c r="K10" s="83" t="str">
        <x:v>7i49 pwmgen.01 driven by pid.z.output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1">
      <x:c r="A11" s="82" t="str">
        <x:v>Y_AXIS_CMD</x:v>
      </x:c>
      <x:c r="B11" s="82" t="str">
        <x:v>Motion</x:v>
      </x:c>
      <x:c r="C11" s="82" t="str">
        <x:v>ANALOG_OUT</x:v>
      </x:c>
      <x:c r="D11" s="82" t="str">
        <x:v>7i49</x:v>
      </x:c>
      <x:c r="E11" s="82" t="str">
        <x:v>P2 Analog TB</x:v>
      </x:c>
      <x:c r="F11" s="82" t="str">
        <x:v>AOUT2</x:v>
      </x:c>
      <x:c r="G11" s="82" t="str">
        <x:v>y-vel-cmd</x:v>
      </x:c>
      <x:c r="H11" s="83" t="str">
        <x:v>Y servo analog velocity command to MELDAS TRA</x:v>
      </x:c>
      <x:c r="I11" s="83" t="str">
        <x:v>COMMISSIONING_PENDING</x:v>
      </x:c>
      <x:c r="J11" s="83" t="str">
        <x:v>motion_7i80hdt.hal</x:v>
      </x:c>
      <x:c r="K11" s="83" t="str">
        <x:v>7i49 pwmgen.02 driven by pid.y.output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2">
      <x:c r="A12" s="82" t="str">
        <x:v>SPINDLE_SPEED_CMD</x:v>
      </x:c>
      <x:c r="B12" s="82" t="str">
        <x:v>Spindle</x:v>
      </x:c>
      <x:c r="C12" s="82" t="str">
        <x:v>ANALOG_OUT</x:v>
      </x:c>
      <x:c r="D12" s="82" t="str">
        <x:v>7i49</x:v>
      </x:c>
      <x:c r="E12" s="82" t="str">
        <x:v>P2 Analog TB</x:v>
      </x:c>
      <x:c r="F12" s="82" t="str">
        <x:v>AOUT3</x:v>
      </x:c>
      <x:c r="G12" s="82" t="str">
        <x:v>spindle-speed-cmd</x:v>
      </x:c>
      <x:c r="H12" s="83" t="str">
        <x:v>FR-SX V-IN speed reference</x:v>
      </x:c>
      <x:c r="I12" s="83" t="str">
        <x:v>COMMISSIONING_PENDING</x:v>
      </x:c>
      <x:c r="J12" s="83" t="str">
        <x:v>motion_7i80hdt.hal</x:v>
      </x:c>
      <x:c r="K12" s="83" t="str">
        <x:v>Confirm 0-10V unipolar vs bipolar; pwmgen.03 offset-mode | [RECON 2026-08-08 §D: FR-SX SE1/SE2/SE3 0-10V speed ref (+10V max speed)] | [FIRST-POWER 2026-08-09: factory wiring at BBIA1/7i49 - no cabinet trace. Confirm 0-10V unipolar scaling / offset-mode (see C3); direction is separate SRN/SRI, not command sign.]</x:v>
      </x:c>
    </x:row>
    <x:row r="13">
      <x:c r="A13" s="82" t="str">
        <x:v>AOUT4_SPARE</x:v>
      </x:c>
      <x:c r="B13" s="82" t="str">
        <x:v>Spare</x:v>
      </x:c>
      <x:c r="C13" s="82" t="str">
        <x:v>ANALOG_OUT</x:v>
      </x:c>
      <x:c r="D13" s="82" t="str">
        <x:v>7i49</x:v>
      </x:c>
      <x:c r="E13" s="82" t="str">
        <x:v>P2 Analog TB</x:v>
      </x:c>
      <x:c r="F13" s="82" t="str">
        <x:v>AOUT4</x:v>
      </x:c>
      <x:c r="G13" s="82" t="str">
        <x:v>none</x:v>
      </x:c>
      <x:c r="H13" s="83" t="str">
        <x:v>Spare 7i49 analog output</x:v>
      </x:c>
      <x:c r="I13" s="83" t="str">
        <x:v>SPARE</x:v>
      </x:c>
      <x:c r="J13" s="83" t="str">
        <x:v>frsx_orient_model.md</x:v>
      </x:c>
      <x:c r="K13" s="83" t="str">
        <x:v>FR-SX orient is a discrete ORCM1 command; num_pwmgens=4 creates only pwmgen.00-.03 so AOUT4 is not provisioned in active firmware config</x:v>
      </x:c>
    </x:row>
    <x:row r="14">
      <x:c r="A14" s="82" t="str">
        <x:v>AOUT5_SPARE</x:v>
      </x:c>
      <x:c r="B14" s="82" t="str">
        <x:v>Spare</x:v>
      </x:c>
      <x:c r="C14" s="82" t="str">
        <x:v>ANALOG_OUT</x:v>
      </x:c>
      <x:c r="D14" s="82" t="str">
        <x:v>7i49</x:v>
      </x:c>
      <x:c r="E14" s="82" t="str">
        <x:v>P2 Analog TB</x:v>
      </x:c>
      <x:c r="F14" s="82" t="str">
        <x:v>AOUT5</x:v>
      </x:c>
      <x:c r="G14" s="82" t="str">
        <x:v>none</x:v>
      </x:c>
      <x:c r="H14" s="83" t="str">
        <x:v>Spare 7i49 analog output</x:v>
      </x:c>
      <x:c r="I14" s="83" t="str">
        <x:v>SPARE</x:v>
      </x:c>
      <x:c r="J14" s="83" t="str">
        <x:v>mesa_firmware_checklist.md</x:v>
      </x:c>
      <x:c r="K14" s="83" t="str">
        <x:v>Available for future analog use</x:v>
      </x:c>
    </x:row>
    <x:row r="15">
      <x:c r="A15" s="82" t="str">
        <x:v>SSERIAL_PORT0_TXA</x:v>
      </x:c>
      <x:c r="B15" s="82" t="str">
        <x:v>Field I/O</x:v>
      </x:c>
      <x:c r="C15" s="82" t="str">
        <x:v>LINK</x:v>
      </x:c>
      <x:c r="D15" s="82" t="str">
        <x:v>7i44</x:v>
      </x:c>
      <x:c r="E15" s="82" t="str">
        <x:v>P1 7i44 physical channel 0</x:v>
      </x:c>
      <x:c r="F15" s="82" t="str">
        <x:v>port0.TX+</x:v>
      </x:c>
      <x:c r="G15" s="82" t="str">
        <x:v>none</x:v>
      </x:c>
      <x:c r="H15" s="83" t="str">
        <x:v>7i84U-A RJ45 pin 2 RX+</x:v>
      </x:c>
      <x:c r="I15" s="83" t="str">
        <x:v>FACTORY_LINK</x:v>
      </x:c>
      <x:c r="J15" s="83" t="str">
        <x:v>mesa_firmware_checklist.md</x:v>
      </x:c>
      <x:c r="K15" s="83" t="str">
        <x:v>7i44 channel 0 to 7i84U-A CN0 under HostMot2 port 0; 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6">
      <x:c r="A16" s="82" t="str">
        <x:v>SSERIAL_PORT0_TXB</x:v>
      </x:c>
      <x:c r="B16" s="82" t="str">
        <x:v>Field I/O</x:v>
      </x:c>
      <x:c r="C16" s="82" t="str">
        <x:v>LINK</x:v>
      </x:c>
      <x:c r="D16" s="82" t="str">
        <x:v>7i44</x:v>
      </x:c>
      <x:c r="E16" s="82" t="str">
        <x:v>P1 7i44 physical channel 0</x:v>
      </x:c>
      <x:c r="F16" s="82" t="str">
        <x:v>port0.TX-</x:v>
      </x:c>
      <x:c r="G16" s="82" t="str">
        <x:v>none</x:v>
      </x:c>
      <x:c r="H16" s="83" t="str">
        <x:v>7i84U-A RJ45 pin 1 RX-</x:v>
      </x:c>
      <x:c r="I16" s="83" t="str">
        <x:v>FACTORY_LINK</x:v>
      </x:c>
      <x:c r="J16" s="83" t="str">
        <x:v>mesa_firmware_checklist.md</x:v>
      </x:c>
      <x:c r="K16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7">
      <x:c r="A17" s="82" t="str">
        <x:v>SSERIAL_PORT0_RXA</x:v>
      </x:c>
      <x:c r="B17" s="82" t="str">
        <x:v>Field I/O</x:v>
      </x:c>
      <x:c r="C17" s="82" t="str">
        <x:v>LINK</x:v>
      </x:c>
      <x:c r="D17" s="82" t="str">
        <x:v>7i44</x:v>
      </x:c>
      <x:c r="E17" s="82" t="str">
        <x:v>P1 7i44 physical channel 0</x:v>
      </x:c>
      <x:c r="F17" s="82" t="str">
        <x:v>port0.RX+</x:v>
      </x:c>
      <x:c r="G17" s="82" t="str">
        <x:v>none</x:v>
      </x:c>
      <x:c r="H17" s="83" t="str">
        <x:v>7i84U-A RJ45 pin 6 TX+</x:v>
      </x:c>
      <x:c r="I17" s="83" t="str">
        <x:v>FACTORY_LINK</x:v>
      </x:c>
      <x:c r="J17" s="83" t="str">
        <x:v>mesa_firmware_checklist.md</x:v>
      </x:c>
      <x:c r="K17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8">
      <x:c r="A18" s="82" t="str">
        <x:v>SSERIAL_PORT0_RXB</x:v>
      </x:c>
      <x:c r="B18" s="82" t="str">
        <x:v>Field I/O</x:v>
      </x:c>
      <x:c r="C18" s="82" t="str">
        <x:v>LINK</x:v>
      </x:c>
      <x:c r="D18" s="82" t="str">
        <x:v>7i44</x:v>
      </x:c>
      <x:c r="E18" s="82" t="str">
        <x:v>P1 7i44 physical channel 0</x:v>
      </x:c>
      <x:c r="F18" s="82" t="str">
        <x:v>port0.RX-</x:v>
      </x:c>
      <x:c r="G18" s="82" t="str">
        <x:v>none</x:v>
      </x:c>
      <x:c r="H18" s="83" t="str">
        <x:v>7i84U-A RJ45 pin 3 TX-</x:v>
      </x:c>
      <x:c r="I18" s="83" t="str">
        <x:v>FACTORY_LINK</x:v>
      </x:c>
      <x:c r="J18" s="83" t="str">
        <x:v>mesa_firmware_checklist.md</x:v>
      </x:c>
      <x:c r="K18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9">
      <x:c r="A19" s="82" t="str">
        <x:v>SSERIAL_PORT0_GND</x:v>
      </x:c>
      <x:c r="B19" s="82" t="str">
        <x:v>Field I/O</x:v>
      </x:c>
      <x:c r="C19" s="82" t="str">
        <x:v>LINK</x:v>
      </x:c>
      <x:c r="D19" s="82" t="str">
        <x:v>7i44</x:v>
      </x:c>
      <x:c r="E19" s="82" t="str">
        <x:v>P1 7i44 physical channel 0</x:v>
      </x:c>
      <x:c r="F19" s="82" t="str">
        <x:v>port0.GND</x:v>
      </x:c>
      <x:c r="G19" s="82" t="str">
        <x:v>none</x:v>
      </x:c>
      <x:c r="H19" s="83" t="str">
        <x:v>7i84U-A RJ45 pin 4/5 ground</x:v>
      </x:c>
      <x:c r="I19" s="83" t="str">
        <x:v>FACTORY_LINK</x:v>
      </x:c>
      <x:c r="J19" s="83" t="str">
        <x:v>mesa_firmware_checklist.md</x:v>
      </x:c>
      <x:c r="K19" s="83" t="str">
        <x:v>Factory-link signal ground; cable construction is not field-modified | [MESA-CONFIRMED 2026-08-08: matches 7i84U J1 RJ-45 pinout (7i84uman.pdf: p1 RXA/p2 RXB/p3 TXA/p6 TXB/p4-5 GND/p7-8 +5V, 568B colors); straight CAT5 to 7i44] | [READY 2026-08-09: two distinct plug-in segments: Mesa 50-pin IDC from 7i80HDT P1 to 7i44, then CAT5 smart-serial from 7i44 channel 0 to 7i84U-A.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20">
      <x:c r="A20" s="82" t="str">
        <x:v>SSERIAL_PORT0_5V</x:v>
      </x:c>
      <x:c r="B20" s="82" t="str">
        <x:v>Field I/O</x:v>
      </x:c>
      <x:c r="C20" s="82" t="str">
        <x:v>LINK</x:v>
      </x:c>
      <x:c r="D20" s="82" t="str">
        <x:v>7i44</x:v>
      </x:c>
      <x:c r="E20" s="82" t="str">
        <x:v>P1 7i44 physical channel 0</x:v>
      </x:c>
      <x:c r="F20" s="82" t="str">
        <x:v>port0.+5V</x:v>
      </x:c>
      <x:c r="G20" s="82" t="str">
        <x:v>none</x:v>
      </x:c>
      <x:c r="H20" s="83" t="str">
        <x:v>7i84U-A RJ45 pin 7/8 +5V</x:v>
      </x:c>
      <x:c r="I20" s="83" t="str">
        <x:v>FACTORY_LINK</x:v>
      </x:c>
      <x:c r="J20" s="83" t="str">
        <x:v>mesa_firmware_checklist.md</x:v>
      </x:c>
      <x:c r="K20" s="83" t="str">
        <x:v>Serial power for 7i84U-A logic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21">
      <x:c r="A21" s="82" t="str">
        <x:v>SSERIAL_PORTS_2_7_SPARE</x:v>
      </x:c>
      <x:c r="B21" s="82" t="str">
        <x:v>Expansion</x:v>
      </x:c>
      <x:c r="C21" s="82" t="str">
        <x:v>LINK</x:v>
      </x:c>
      <x:c r="D21" s="82" t="str">
        <x:v>7i44</x:v>
      </x:c>
      <x:c r="E21" s="82" t="str">
        <x:v>P1 7i44 physical channels 2-7</x:v>
      </x:c>
      <x:c r="F21" s="82" t="str">
        <x:v>ports2-7</x:v>
      </x:c>
      <x:c r="G21" s="82" t="str">
        <x:v>none</x:v>
      </x:c>
      <x:c r="H21" s="83" t="str">
        <x:v>Spare smart-serial channels</x:v>
      </x:c>
      <x:c r="I21" s="83" t="str">
        <x:v>SPARE</x:v>
      </x:c>
      <x:c r="J21" s="83" t="str">
        <x:v>mesa_firmware_checklist.md</x:v>
      </x:c>
      <x:c r="K21" s="83" t="str">
        <x:v>7i44 has 8 RS-422 physical channels; channels 0/1 = 7i84U-A/B within HostMot2 port 0; channels 2-7 remain spare for MPG pendant, 4th-axis card, or additional 7i84 expansion.</x:v>
      </x:c>
    </x:row>
    <x:row r="22">
      <x:c r="A22" s="82" t="str">
        <x:v>SEVENI84U_FIELD_A_24V</x:v>
      </x:c>
      <x:c r="B22" s="82" t="str">
        <x:v>Power</x:v>
      </x:c>
      <x:c r="C22" s="82" t="str">
        <x:v>POWER</x:v>
      </x:c>
      <x:c r="D22" s="82" t="str">
        <x:v>7i84U-A</x:v>
      </x:c>
      <x:c r="E22" s="82" t="str">
        <x:v>TB1</x:v>
      </x:c>
      <x:c r="F22" s="82" t="str">
        <x:v>TB1 pins 3/4 VFIELDA (+24 V field power, 5-28 VDC)</x:v>
      </x:c>
      <x:c r="G22" s="82" t="str">
        <x:v>none</x:v>
      </x:c>
      <x:c r="H22" s="83" t="str">
        <x:v>Field power bank A (TB3 I/O)</x:v>
      </x:c>
      <x:c r="I22" s="83" t="str">
        <x:v>PROPOSED</x:v>
      </x:c>
      <x:c r="J22" s="83" t="str">
        <x:v>Mesa 7i84U manual pp.2/7-8/47</x:v>
      </x:c>
      <x:c r="K22" s="83" t="str">
        <x:v>Both terminals are VFIELDA; powers TB3 outputs 0-7 and inputs 0-15. Never connect either pin to 0 V.</x:v>
      </x:c>
    </x:row>
    <x:row r="23">
      <x:c r="A23" s="82" t="str">
        <x:v>SEVENI84U_FIELD_B_24V</x:v>
      </x:c>
      <x:c r="B23" s="82" t="str">
        <x:v>Power</x:v>
      </x:c>
      <x:c r="C23" s="82" t="str">
        <x:v>POWER</x:v>
      </x:c>
      <x:c r="D23" s="82" t="str">
        <x:v>7i84U-A</x:v>
      </x:c>
      <x:c r="E23" s="82" t="str">
        <x:v>TB1</x:v>
      </x:c>
      <x:c r="F23" s="82" t="str">
        <x:v>TB1 pins 1/2 VFIELDB (+24 V field power, 5-28 VDC)</x:v>
      </x:c>
      <x:c r="G23" s="82" t="str">
        <x:v>none</x:v>
      </x:c>
      <x:c r="H23" s="83" t="str">
        <x:v>Field power bank B (TB2 I/O)</x:v>
      </x:c>
      <x:c r="I23" s="83" t="str">
        <x:v>PROPOSED</x:v>
      </x:c>
      <x:c r="J23" s="83" t="str">
        <x:v>Mesa 7i84U manual pp.2/7-8/47</x:v>
      </x:c>
      <x:c r="K23" s="83" t="str">
        <x:v>Both terminals are VFIELDB; powers TB2 outputs 8-15 and inputs 16-31. Never connect either pin to 0 V.</x:v>
      </x:c>
    </x:row>
    <x:row r="24">
      <x:c r="A24" s="82" t="str">
        <x:v>ATC_ZONE_Y</x:v>
      </x:c>
      <x:c r="B24" s="82" t="str">
        <x:v>ATC interlock</x:v>
      </x:c>
      <x:c r="C24" s="82" t="str">
        <x:v>IN</x:v>
      </x:c>
      <x:c r="D24" s="82" t="str">
        <x:v>7i84U-A</x:v>
      </x:c>
      <x:c r="E24" s="82" t="str">
        <x:v>TB3</x:v>
      </x:c>
      <x:c r="F24" s="82" t="str">
        <x:v>IN0</x:v>
      </x:c>
      <x:c r="G24" s="82" t="str">
        <x:v>atc-y-zone</x:v>
      </x:c>
      <x:c r="H24" s="83" t="str">
        <x:v>PRS-55 Y ATC zone</x:v>
      </x:c>
      <x:c r="I24" s="83" t="str">
        <x:v>FACTORY_INTERFACE</x:v>
      </x:c>
      <x:c r="J24" s="83" t="str">
        <x:v>archived_wiring_map</x:v>
      </x:c>
      <x:c r="K24" s="83" t="str">
        <x:v>Update field_7i84u.hal because it currently uses input-02 | [RECON 2026-08-08 §F: PRS-55 (+Y 2nd, +LY2) confirmed by Dwg 4143075409 (Motion Switch Input 3)]</x:v>
      </x:c>
    </x:row>
    <x:row r="25">
      <x:c r="A25" s="82" t="str">
        <x:v>ATC_ZONE_Z</x:v>
      </x:c>
      <x:c r="B25" s="82" t="str">
        <x:v>ATC interlock</x:v>
      </x:c>
      <x:c r="C25" s="82" t="str">
        <x:v>IN</x:v>
      </x:c>
      <x:c r="D25" s="82" t="str">
        <x:v>7i84U-A</x:v>
      </x:c>
      <x:c r="E25" s="82" t="str">
        <x:v>TB3</x:v>
      </x:c>
      <x:c r="F25" s="82" t="str">
        <x:v>IN1</x:v>
      </x:c>
      <x:c r="G25" s="82" t="str">
        <x:v>atc-z-zone</x:v>
      </x:c>
      <x:c r="H25" s="83" t="str">
        <x:v>PRS-66 Z ATC zone</x:v>
      </x:c>
      <x:c r="I25" s="83" t="str">
        <x:v>FACTORY_INTERFACE</x:v>
      </x:c>
      <x:c r="J25" s="83" t="str">
        <x:v>archived_wiring_map</x:v>
      </x:c>
      <x:c r="K25" s="83" t="str">
        <x:v>Update field_7i84u.hal because it currently uses input-03 | [RECON 2026-08-08 §F: PRS-66 (-Z 2nd, -LZ2) confirmed by Dwg 4143075409 (Motion Switch Input 3)]</x:v>
      </x:c>
    </x:row>
    <x:row r="26">
      <x:c r="A26" s="82" t="str">
        <x:v>MAG_TOOL_AVAILABLE</x:v>
      </x:c>
      <x:c r="B26" s="82" t="str">
        <x:v>ATC interlock</x:v>
      </x:c>
      <x:c r="C26" s="82" t="str">
        <x:v>IN</x:v>
      </x:c>
      <x:c r="D26" s="82" t="str">
        <x:v>7i84U-A</x:v>
      </x:c>
      <x:c r="E26" s="82" t="str">
        <x:v>TB3</x:v>
      </x:c>
      <x:c r="F26" s="82" t="str">
        <x:v>IN2</x:v>
      </x:c>
      <x:c r="G26" s="82" t="str">
        <x:v>mag-tool-avail</x:v>
      </x:c>
      <x:c r="H26" s="83" t="str">
        <x:v>PHS-181 magazine tool available</x:v>
      </x:c>
      <x:c r="I26" s="83" t="str">
        <x:v>FACTORY_INTERFACE</x:v>
      </x:c>
      <x:c r="J26" s="83" t="str">
        <x:v>phase2_plan</x:v>
      </x:c>
      <x:c r="K26" s="83" t="str">
        <x:v>Add HAL net when confirmed | [RECON 2026-08-08 §F: PHS-181 line 381 (settles PHS-127 vs 181) confirmed by Dwg 4143075409 (Motion Switch Input 3)]</x:v>
      </x:c>
    </x:row>
    <x:row r="27">
      <x:c r="A27" s="82" t="str">
        <x:v>SPINDLE_TOOL_AVAILABLE</x:v>
      </x:c>
      <x:c r="B27" s="82" t="str">
        <x:v>ATC interlock</x:v>
      </x:c>
      <x:c r="C27" s="82" t="str">
        <x:v>IN</x:v>
      </x:c>
      <x:c r="D27" s="82" t="str">
        <x:v>7i84U-A</x:v>
      </x:c>
      <x:c r="E27" s="82" t="str">
        <x:v>TB3</x:v>
      </x:c>
      <x:c r="F27" s="82" t="str">
        <x:v>IN3</x:v>
      </x:c>
      <x:c r="G27" s="82" t="str">
        <x:v>spindle-tool-avail</x:v>
      </x:c>
      <x:c r="H27" s="83" t="str">
        <x:v>PHS-182 spindle tool available</x:v>
      </x:c>
      <x:c r="I27" s="83" t="str">
        <x:v>FACTORY_INTERFACE</x:v>
      </x:c>
      <x:c r="J27" s="83" t="str">
        <x:v>phase2_plan</x:v>
      </x:c>
      <x:c r="K27" s="83" t="str">
        <x:v>Add HAL net when confirmed</x:v>
      </x:c>
    </x:row>
    <x:row r="28">
      <x:c r="A28" s="82" t="str">
        <x:v>SPINDLE_ORIENT_ARRIVAL</x:v>
      </x:c>
      <x:c r="B28" s="82" t="str">
        <x:v>Spindle</x:v>
      </x:c>
      <x:c r="C28" s="82" t="str">
        <x:v>IN</x:v>
      </x:c>
      <x:c r="D28" s="82" t="str">
        <x:v>7i84U-A</x:v>
      </x:c>
      <x:c r="E28" s="82" t="str">
        <x:v>TB3</x:v>
      </x:c>
      <x:c r="F28" s="82" t="str">
        <x:v>IN4</x:v>
      </x:c>
      <x:c r="G28" s="82" t="str">
        <x:v>spindle-oriented</x:v>
      </x:c>
      <x:c r="H28" s="83" t="str">
        <x:v>FR-SX orient arrival (PLC X003 ORA1)</x:v>
      </x:c>
      <x:c r="I28" s="83" t="str">
        <x:v>FACTORY_INTERFACE</x:v>
      </x:c>
      <x:c r="J28" s="83" t="str">
        <x:v>element_list_crosswalk_2026-07-27</x:v>
      </x:c>
      <x:c r="K28" s="83" t="str">
        <x:v>ATC cannot cycle without orient; confirm FR-SX terminal and polarity | [RECON 2026-08-08 §A: element list confirms X003 ORA1 'ORIENT ARRIVAL' (ladder 3006/4810/5509) on 060231] | [RECON 2026-08-08 §D: FR-SX OBA1(t22)/OBA2(t23) -&gt; CN4-16/CN4-17 (digits verify)]</x:v>
      </x:c>
    </x:row>
    <x:row r="29">
      <x:c r="A29" s="82" t="str">
        <x:v>SPINDLE_ZERO_SPEED</x:v>
      </x:c>
      <x:c r="B29" s="82" t="str">
        <x:v>Spindle safety</x:v>
      </x:c>
      <x:c r="C29" s="82" t="str">
        <x:v>IN</x:v>
      </x:c>
      <x:c r="D29" s="82" t="str">
        <x:v>7i84U-A</x:v>
      </x:c>
      <x:c r="E29" s="82" t="str">
        <x:v>TB3</x:v>
      </x:c>
      <x:c r="F29" s="82" t="str">
        <x:v>IN5</x:v>
      </x:c>
      <x:c r="G29" s="82" t="str">
        <x:v>spindle-zero-speed</x:v>
      </x:c>
      <x:c r="H29" s="83" t="str">
        <x:v>FR-SX zero-speed output (PLC X001 SZS.M)</x:v>
      </x:c>
      <x:c r="I29" s="83" t="str">
        <x:v>FACTORY_INTERFACE</x:v>
      </x:c>
      <x:c r="J29" s="83" t="str">
        <x:v>element_list_crosswalk_2026-07-27</x:v>
      </x:c>
      <x:c r="K29" s="83" t="str">
        <x:v>Distinct from IN13 speed-reach; gear shift interlock needs zero-speed | [RECON 2026-08-08 §A: element list confirms X001 SZS.M 'SPINDLE ZERO SPEED' on 060231] | [RECON 2026-08-08 §D: FR-SX ESL1(t3)/ES2(t4) -&gt; CN4-1/CN4-2 (digits verify)] | [LOCATED 2026-08-08: X01 SZS.M wire 143 T.U CN3-4, Dwg 4143075407 pg133] | [PINOUT-RECONCILED 2026-08-09: BBIA-1 board = wire 231, CN4-1 (matches the FR-SX CON1-&gt;CN4 reading in the D-section; supersedes the pg133 'wire 143 / CN3-4' LOCATED note).]</x:v>
      </x:c>
    </x:row>
    <x:row r="30">
      <x:c r="A30" s="82" t="str">
        <x:v>MAG_COVER_OPEN_CONF</x:v>
      </x:c>
      <x:c r="B30" s="82" t="str">
        <x:v>Magazine</x:v>
      </x:c>
      <x:c r="C30" s="82" t="str">
        <x:v>IN</x:v>
      </x:c>
      <x:c r="D30" s="82" t="str">
        <x:v>7i84U-A</x:v>
      </x:c>
      <x:c r="E30" s="82" t="str">
        <x:v>TB3</x:v>
      </x:c>
      <x:c r="F30" s="82" t="str">
        <x:v>IN6</x:v>
      </x:c>
      <x:c r="G30" s="82" t="str">
        <x:v>mag-cover-open-conf</x:v>
      </x:c>
      <x:c r="H30" s="83" t="str">
        <x:v>Magazine cover open reed switch (PLC X052 MGCORS)</x:v>
      </x:c>
      <x:c r="I30" s="83" t="str">
        <x:v>FACTORY_INTERFACE</x:v>
      </x:c>
      <x:c r="J30" s="83" t="str">
        <x:v>element_list_crosswalk_2026-07-27</x:v>
      </x:c>
      <x:c r="K30" s="83" t="str">
        <x:v>Pairs with NET_MAG_COVER_OPEN/CLOSE solenoids; locate RS on cover | [RECON 2026-08-08 §A/§F: X052 MGCORS + RS-18 line 218 (Dwg 4143075409) confirm on 060231] | [LOCATED 2026-08-08: RS-18 wire 218 MGCORS X52, Dwg 4143075409 pg135]</x:v>
      </x:c>
    </x:row>
    <x:row r="31">
      <x:c r="A31" s="82" t="str">
        <x:v>MAG_COVER_CLOSE_CONF</x:v>
      </x:c>
      <x:c r="B31" s="82" t="str">
        <x:v>Magazine</x:v>
      </x:c>
      <x:c r="C31" s="82" t="str">
        <x:v>IN</x:v>
      </x:c>
      <x:c r="D31" s="82" t="str">
        <x:v>7i84U-A</x:v>
      </x:c>
      <x:c r="E31" s="82" t="str">
        <x:v>TB3</x:v>
      </x:c>
      <x:c r="F31" s="82" t="str">
        <x:v>IN7</x:v>
      </x:c>
      <x:c r="G31" s="82" t="str">
        <x:v>mag-cover-closed-conf</x:v>
      </x:c>
      <x:c r="H31" s="83" t="str">
        <x:v>Magazine cover close reed switch (PLC X053 MGCCRS)</x:v>
      </x:c>
      <x:c r="I31" s="83" t="str">
        <x:v>FACTORY_INTERFACE</x:v>
      </x:c>
      <x:c r="J31" s="83" t="str">
        <x:v>element_list_crosswalk_2026-07-27</x:v>
      </x:c>
      <x:c r="K31" s="83" t="str">
        <x:v>Interlock magazine rotation on cover closed | [RECON 2026-08-08 §A/§F: X053 MGCCRS + RS-19 line 219 (Dwg 4143075409) confirm on 060231] | [LOCATED 2026-08-08: RS-19 wire 219 MGCCRS X53, Dwg 4143075409 pg135]</x:v>
      </x:c>
    </x:row>
    <x:row r="32">
      <x:c r="A32" s="82" t="str">
        <x:v>THERMAL_ALARM_CHAIN</x:v>
      </x:c>
      <x:c r="B32" s="82" t="str">
        <x:v>Machine safety</x:v>
      </x:c>
      <x:c r="C32" s="82" t="str">
        <x:v>IN</x:v>
      </x:c>
      <x:c r="D32" s="82" t="str">
        <x:v>7i84U-A</x:v>
      </x:c>
      <x:c r="E32" s="82" t="str">
        <x:v>TB3</x:v>
      </x:c>
      <x:c r="F32" s="82" t="str">
        <x:v>IN8</x:v>
      </x:c>
      <x:c r="G32" s="82" t="str">
        <x:v>thermal-alarm</x:v>
      </x:c>
      <x:c r="H32" s="83" t="str">
        <x:v>Motor thermal trip + main transformer overheat in series (PLC X073 THR.M + X07B ONT.M)</x:v>
      </x:c>
      <x:c r="I32" s="83" t="str">
        <x:v>FACTORY_INTERFACE</x:v>
      </x:c>
      <x:c r="J32" s="83" t="str">
        <x:v>element_list_crosswalk_2026-07-27 + open_issues.md §3 (2026-08-03)</x:v>
      </x:c>
      <x:c r="K32" s="83" t="str">
        <x:v>Series-wired NC X073 THR.M + X07B ONT.M; alarm-only, not in E-stop chain; field continuity and polarity remain unverified. | [RECON 2026-08-08 §A: element list confirms X073 THR.M + X07B ONT.M — two NC signals, series on 060231] | [LOCATED 2026-08-08: X73 THR.M (T.U CN5-1, TB1; motor thermal + circuit protector trip) series-NC X7B ONT.M (T.U CN5-3, OHT; main transformer overheat), Dwg 4143075407 pg133]</x:v>
      </x:c>
    </x:row>
    <x:row r="33">
      <x:c r="A33" s="82" t="str">
        <x:v>MANUAL_TOOL_UNCLAMP_PB</x:v>
      </x:c>
      <x:c r="B33" s="82" t="str">
        <x:v>ATC tool</x:v>
      </x:c>
      <x:c r="C33" s="82" t="str">
        <x:v>IN</x:v>
      </x:c>
      <x:c r="D33" s="82" t="str">
        <x:v>7i84U-A</x:v>
      </x:c>
      <x:c r="E33" s="82" t="str">
        <x:v>TB3</x:v>
      </x:c>
      <x:c r="F33" s="82" t="str">
        <x:v>IN9</x:v>
      </x:c>
      <x:c r="G33" s="82" t="str">
        <x:v>manual-unclamp-pb</x:v>
      </x:c>
      <x:c r="H33" s="83" t="str">
        <x:v>Manual tool unclamp FOOT switch (PLC X01A TUCFS.M)</x:v>
      </x:c>
      <x:c r="I33" s="83" t="str">
        <x:v>FACTORY_INTERFACE</x:v>
      </x:c>
      <x:c r="J33" s="83" t="str">
        <x:v>element_list_crosswalk_2026-07-27</x:v>
      </x:c>
      <x:c r="K33" s="83" t="str">
        <x:v>Commissioning aid; pairs with MANUAL_TOOL_CLAMP_PB on IN30 (TCFS X01B reinstated 2026-08-03 after single-7i84U plan freed pins). | [RECON 2026-08-08 §A: element list confirms X01A TUCFS.M 'MNL TOOL UNCLAMP FS (VQC20)' on 060231] | [RECON 2026-08-08: FOOT switch confirmed (owner + mnemonic TUCFS=Tool UnClamp Foot Switch); BBIA1 wire 149 'TOOL UNCLAMP (FOOT SW)' 7-23] | [LOCATED 2026-08-08: X1A TUCF.M foot switch, wire 149A, T.U CN2-3, Dwg 4143075407 pg133]</x:v>
      </x:c>
    </x:row>
    <x:row r="34">
      <x:c r="A34" s="82" t="str">
        <x:v>X_DRIVE_FAULT</x:v>
      </x:c>
      <x:c r="B34" s="82" t="str">
        <x:v>Drive safety</x:v>
      </x:c>
      <x:c r="C34" s="82" t="str">
        <x:v>IN</x:v>
      </x:c>
      <x:c r="D34" s="82" t="str">
        <x:v>7i84U-A</x:v>
      </x:c>
      <x:c r="E34" s="82" t="str">
        <x:v>TB3</x:v>
      </x:c>
      <x:c r="F34" s="82" t="str">
        <x:v>IN10</x:v>
      </x:c>
      <x:c r="G34" s="82" t="str">
        <x:v>x-drive-fault</x:v>
      </x:c>
      <x:c r="H34" s="83" t="str">
        <x:v>X drive fault relay</x:v>
      </x:c>
      <x:c r="I34" s="83" t="str">
        <x:v>FACTORY_INTERFACE</x:v>
      </x:c>
      <x:c r="J34" s="83" t="str">
        <x:v>archived_wiring_map</x:v>
      </x:c>
      <x:c r="K34" s="83" t="str">
        <x:v>Update field_7i84u.hal because it currently uses input-12</x:v>
      </x:c>
    </x:row>
    <x:row r="35">
      <x:c r="A35" s="82" t="str">
        <x:v>Y_DRIVE_FAULT</x:v>
      </x:c>
      <x:c r="B35" s="82" t="str">
        <x:v>Drive safety</x:v>
      </x:c>
      <x:c r="C35" s="82" t="str">
        <x:v>IN</x:v>
      </x:c>
      <x:c r="D35" s="82" t="str">
        <x:v>7i84U-A</x:v>
      </x:c>
      <x:c r="E35" s="82" t="str">
        <x:v>TB3</x:v>
      </x:c>
      <x:c r="F35" s="82" t="str">
        <x:v>IN11</x:v>
      </x:c>
      <x:c r="G35" s="82" t="str">
        <x:v>y-drive-fault</x:v>
      </x:c>
      <x:c r="H35" s="83" t="str">
        <x:v>Y drive fault relay</x:v>
      </x:c>
      <x:c r="I35" s="83" t="str">
        <x:v>FACTORY_INTERFACE</x:v>
      </x:c>
      <x:c r="J35" s="83" t="str">
        <x:v>archived_wiring_map</x:v>
      </x:c>
      <x:c r="K35" s="83" t="str">
        <x:v>Update field_7i84u.hal because it currently uses input-13</x:v>
      </x:c>
    </x:row>
    <x:row r="36">
      <x:c r="A36" s="82" t="str">
        <x:v>Z_DRIVE_FAULT</x:v>
      </x:c>
      <x:c r="B36" s="82" t="str">
        <x:v>Drive safety</x:v>
      </x:c>
      <x:c r="C36" s="82" t="str">
        <x:v>IN</x:v>
      </x:c>
      <x:c r="D36" s="82" t="str">
        <x:v>7i84U-A</x:v>
      </x:c>
      <x:c r="E36" s="82" t="str">
        <x:v>TB3</x:v>
      </x:c>
      <x:c r="F36" s="82" t="str">
        <x:v>IN12</x:v>
      </x:c>
      <x:c r="G36" s="82" t="str">
        <x:v>z-drive-fault</x:v>
      </x:c>
      <x:c r="H36" s="83" t="str">
        <x:v>Z drive fault relay</x:v>
      </x:c>
      <x:c r="I36" s="83" t="str">
        <x:v>FACTORY_INTERFACE</x:v>
      </x:c>
      <x:c r="J36" s="83" t="str">
        <x:v>archived_wiring_map</x:v>
      </x:c>
      <x:c r="K36" s="83" t="str">
        <x:v>Update field_7i84u.hal because it currently uses input-14</x:v>
      </x:c>
    </x:row>
    <x:row r="37">
      <x:c r="A37" s="82" t="str">
        <x:v>SPINDLE_AT_SPEED</x:v>
      </x:c>
      <x:c r="B37" s="82" t="str">
        <x:v>Spindle safety</x:v>
      </x:c>
      <x:c r="C37" s="82" t="str">
        <x:v>IN</x:v>
      </x:c>
      <x:c r="D37" s="82" t="str">
        <x:v>7i84U-A</x:v>
      </x:c>
      <x:c r="E37" s="82" t="str">
        <x:v>TB3</x:v>
      </x:c>
      <x:c r="F37" s="82" t="str">
        <x:v>IN13</x:v>
      </x:c>
      <x:c r="G37" s="82" t="str">
        <x:v>spindle-at-speed</x:v>
      </x:c>
      <x:c r="H37" s="83" t="str">
        <x:v>No factory FR-SX at-speed terminal — derive in LinuxCNC HAL</x:v>
      </x:c>
      <x:c r="I37" s="83" t="str">
        <x:v>DEFERRED</x:v>
      </x:c>
      <x:c r="J37" s="83" t="str">
        <x:v>archived_wiring_map</x:v>
      </x:c>
      <x:c r="K37" s="83" t="str">
        <x:v>Confirm VFD terminal and polarity | [RECON 2026-08-08: spindle-drive sheet Dwg 4143075403 shows only zero-speed/controller-normal/orient-arrival; NO discrete at-speed output. Derive at-speed in HAL (commanded-vs-actual threshold). Do NOT wire.] | [RECON 2026-08-08 follow-up: status COMMISSIONING_PENDING -&gt; DEFERRED; no field wire, derived in HAL]</x:v>
      </x:c>
    </x:row>
    <x:row r="38">
      <x:c r="A38" s="82" t="str">
        <x:v>SPINDLE_FAULT</x:v>
      </x:c>
      <x:c r="B38" s="82" t="str">
        <x:v>Spindle safety</x:v>
      </x:c>
      <x:c r="C38" s="82" t="str">
        <x:v>IN</x:v>
      </x:c>
      <x:c r="D38" s="82" t="str">
        <x:v>7i84U-A</x:v>
      </x:c>
      <x:c r="E38" s="82" t="str">
        <x:v>TB3</x:v>
      </x:c>
      <x:c r="F38" s="82" t="str">
        <x:v>IN14</x:v>
      </x:c>
      <x:c r="G38" s="82" t="str">
        <x:v>spindle-fault</x:v>
      </x:c>
      <x:c r="H38" s="83" t="str">
        <x:v>FR-SX fault output</x:v>
      </x:c>
      <x:c r="I38" s="83" t="str">
        <x:v>FACTORY_INTERFACE</x:v>
      </x:c>
      <x:c r="J38" s="83" t="str">
        <x:v>archived_wiring_map</x:v>
      </x:c>
      <x:c r="K38" s="83" t="str">
        <x:v>Confirm VFD terminal and polarity | [RECON 2026-08-08 §D: FR-SX FA(t11)/FC(t12) 'controller normal' -&gt; CN4-3/CN4-4 (digits verify)]</x:v>
      </x:c>
    </x:row>
    <x:row r="39">
      <x:c r="A39" s="82" t="str">
        <x:v>TOOL_CLAMP_CONF</x:v>
      </x:c>
      <x:c r="B39" s="82" t="str">
        <x:v>ATC tool</x:v>
      </x:c>
      <x:c r="C39" s="82" t="str">
        <x:v>IN</x:v>
      </x:c>
      <x:c r="D39" s="82" t="str">
        <x:v>7i84U-A</x:v>
      </x:c>
      <x:c r="E39" s="82" t="str">
        <x:v>TB3</x:v>
      </x:c>
      <x:c r="F39" s="82" t="str">
        <x:v>IN15</x:v>
      </x:c>
      <x:c r="G39" s="82" t="str">
        <x:v>tool-clamped</x:v>
      </x:c>
      <x:c r="H39" s="83" t="str">
        <x:v>PRS-9 tool clamp confirm</x:v>
      </x:c>
      <x:c r="I39" s="83" t="str">
        <x:v>FACTORY_INTERFACE</x:v>
      </x:c>
      <x:c r="J39" s="83" t="str">
        <x:v>archived_wiring_map</x:v>
      </x:c>
      <x:c r="K39" s="83" t="str">
        <x:v>Update field_7i84u.hal because it currently uses input-00 | [RECON 2026-08-08 §F: PRS-9 line 209 TCPRS confirmed by Dwg 4143075409 (Motion Switch Input 3)]</x:v>
      </x:c>
    </x:row>
    <x:row r="40">
      <x:c r="A40" s="82" t="str">
        <x:v>TOOL_UNCLAMP_CONF</x:v>
      </x:c>
      <x:c r="B40" s="82" t="str">
        <x:v>ATC tool</x:v>
      </x:c>
      <x:c r="C40" s="82" t="str">
        <x:v>IN</x:v>
      </x:c>
      <x:c r="D40" s="82" t="str">
        <x:v>7i84U-A</x:v>
      </x:c>
      <x:c r="E40" s="82" t="str">
        <x:v>TB2</x:v>
      </x:c>
      <x:c r="F40" s="82" t="str">
        <x:v>IN16</x:v>
      </x:c>
      <x:c r="G40" s="82" t="str">
        <x:v>tool-unclamped</x:v>
      </x:c>
      <x:c r="H40" s="83" t="str">
        <x:v>PRS-8 tool unclamp confirm</x:v>
      </x:c>
      <x:c r="I40" s="83" t="str">
        <x:v>FACTORY_INTERFACE</x:v>
      </x:c>
      <x:c r="J40" s="83" t="str">
        <x:v>archived_wiring_map</x:v>
      </x:c>
      <x:c r="K40" s="83" t="str">
        <x:v>Update field_7i84u.hal because it currently uses input-01 | [RECON 2026-08-08 §F: PRS-8 line 208 TUCPRS confirmed by Dwg 4143075409 (Motion Switch Input 3)]</x:v>
      </x:c>
    </x:row>
    <x:row r="41">
      <x:c r="A41" s="82" t="str">
        <x:v>GEAR_HI_CONF</x:v>
      </x:c>
      <x:c r="B41" s="82" t="str">
        <x:v>Spindle gear</x:v>
      </x:c>
      <x:c r="C41" s="82" t="str">
        <x:v>IN</x:v>
      </x:c>
      <x:c r="D41" s="82" t="str">
        <x:v>7i84U-A</x:v>
      </x:c>
      <x:c r="E41" s="82" t="str">
        <x:v>TB2</x:v>
      </x:c>
      <x:c r="F41" s="82" t="str">
        <x:v>IN17</x:v>
      </x:c>
      <x:c r="G41" s="82" t="str">
        <x:v>gear-hi-conf</x:v>
      </x:c>
      <x:c r="H41" s="83" t="str">
        <x:v>PRS-10 gear high confirm</x:v>
      </x:c>
      <x:c r="I41" s="83" t="str">
        <x:v>FACTORY_INTERFACE</x:v>
      </x:c>
      <x:c r="J41" s="83" t="str">
        <x:v>archived_wiring_map</x:v>
      </x:c>
      <x:c r="K41" s="83" t="str">
        <x:v>Add HAL net when confirmed | [RECON 2026-08-08 §F: PRS-10 line 210 HGPRS = HIGH gear confirmed by Dwg 4143075409 (Motion Switch Input 3)]</x:v>
      </x:c>
    </x:row>
    <x:row r="42">
      <x:c r="A42" s="82" t="str">
        <x:v>GEAR_LO_CONF</x:v>
      </x:c>
      <x:c r="B42" s="82" t="str">
        <x:v>Spindle gear</x:v>
      </x:c>
      <x:c r="C42" s="82" t="str">
        <x:v>IN</x:v>
      </x:c>
      <x:c r="D42" s="82" t="str">
        <x:v>7i84U-A</x:v>
      </x:c>
      <x:c r="E42" s="82" t="str">
        <x:v>TB2</x:v>
      </x:c>
      <x:c r="F42" s="82" t="str">
        <x:v>IN18</x:v>
      </x:c>
      <x:c r="G42" s="82" t="str">
        <x:v>gear-lo-conf</x:v>
      </x:c>
      <x:c r="H42" s="83" t="str">
        <x:v>PRS-12 gear low confirm</x:v>
      </x:c>
      <x:c r="I42" s="83" t="str">
        <x:v>FACTORY_INTERFACE</x:v>
      </x:c>
      <x:c r="J42" s="83" t="str">
        <x:v>archived_wiring_map</x:v>
      </x:c>
      <x:c r="K42" s="83" t="str">
        <x:v>Add HAL net when confirmed | [RECON 2026-08-08 §F: PRS-12 line 212 LGPRS = LOW gear confirmed by Dwg 4143075409 (Motion Switch Input 3)]</x:v>
      </x:c>
    </x:row>
    <x:row r="43">
      <x:c r="A43" s="82" t="str">
        <x:v>MAG_BCD_BIT0</x:v>
      </x:c>
      <x:c r="B43" s="82" t="str">
        <x:v>Magazine</x:v>
      </x:c>
      <x:c r="C43" s="82" t="str">
        <x:v>IN</x:v>
      </x:c>
      <x:c r="D43" s="82" t="str">
        <x:v>7i84U-A</x:v>
      </x:c>
      <x:c r="E43" s="82" t="str">
        <x:v>TB2</x:v>
      </x:c>
      <x:c r="F43" s="82" t="str">
        <x:v>IN19</x:v>
      </x:c>
      <x:c r="G43" s="82" t="str">
        <x:v>mag-bcd-bit0</x:v>
      </x:c>
      <x:c r="H43" s="83" t="str">
        <x:v>PRS-21 magazine BCD bit 0</x:v>
      </x:c>
      <x:c r="I43" s="83" t="str">
        <x:v>FACTORY_INTERFACE</x:v>
      </x:c>
      <x:c r="J43" s="83" t="str">
        <x:v>archived_wiring_map</x:v>
      </x:c>
      <x:c r="K43" s="83" t="str">
        <x:v>Decode with bcd2s or custom mux | [RECON 2026-08-08 §F: PRS-21 line 221 confirmed by Dwg 4143075409 (Motion Switch Input 3)] | [PINOUT-RECONCILED 2026-08-09: BBIA-1 board = MAGAZINE ROT POS 1, wire 150, CN2-4/CND2-4 (trusted over pg135 'wire 221' - that wire is BIT1 on the board).]</x:v>
      </x:c>
    </x:row>
    <x:row r="44">
      <x:c r="A44" s="82" t="str">
        <x:v>MAG_BCD_BIT1</x:v>
      </x:c>
      <x:c r="B44" s="82" t="str">
        <x:v>Magazine</x:v>
      </x:c>
      <x:c r="C44" s="82" t="str">
        <x:v>IN</x:v>
      </x:c>
      <x:c r="D44" s="82" t="str">
        <x:v>7i84U-A</x:v>
      </x:c>
      <x:c r="E44" s="82" t="str">
        <x:v>TB2</x:v>
      </x:c>
      <x:c r="F44" s="82" t="str">
        <x:v>IN20</x:v>
      </x:c>
      <x:c r="G44" s="82" t="str">
        <x:v>mag-bcd-bit1</x:v>
      </x:c>
      <x:c r="H44" s="83" t="str">
        <x:v>PRS-22 magazine BCD bit 1</x:v>
      </x:c>
      <x:c r="I44" s="83" t="str">
        <x:v>FACTORY_INTERFACE</x:v>
      </x:c>
      <x:c r="J44" s="83" t="str">
        <x:v>archived_wiring_map</x:v>
      </x:c>
      <x:c r="K44" s="83" t="str">
        <x:v>Decode with bcd2s or custom mux | [RECON 2026-08-08 §F: PRS-22 line 222 confirmed by Dwg 4143075409 (Motion Switch Input 3)] | [PINOUT-RECONCILED 2026-08-09: BBIA-1 board = MAGAZINE ROT POS 2, wire 221, CN2-5/CND2-5 (trusted over pg135 'wire 222').]</x:v>
      </x:c>
    </x:row>
    <x:row r="45">
      <x:c r="A45" s="82" t="str">
        <x:v>MAG_BCD_BIT2</x:v>
      </x:c>
      <x:c r="B45" s="82" t="str">
        <x:v>Magazine</x:v>
      </x:c>
      <x:c r="C45" s="82" t="str">
        <x:v>IN</x:v>
      </x:c>
      <x:c r="D45" s="82" t="str">
        <x:v>7i84U-A</x:v>
      </x:c>
      <x:c r="E45" s="82" t="str">
        <x:v>TB2</x:v>
      </x:c>
      <x:c r="F45" s="82" t="str">
        <x:v>IN21</x:v>
      </x:c>
      <x:c r="G45" s="82" t="str">
        <x:v>mag-bcd-bit2</x:v>
      </x:c>
      <x:c r="H45" s="83" t="str">
        <x:v>PRS-23 magazine BCD bit 2</x:v>
      </x:c>
      <x:c r="I45" s="83" t="str">
        <x:v>FACTORY_INTERFACE</x:v>
      </x:c>
      <x:c r="J45" s="83" t="str">
        <x:v>archived_wiring_map</x:v>
      </x:c>
      <x:c r="K45" s="83" t="str">
        <x:v>Decode with bcd2s or custom mux | [RECON 2026-08-08 §F: PRS-23 line 223 confirmed by Dwg 4143075409 (Motion Switch Input 3)] | [PINOUT-RECONCILED 2026-08-09: BBIA-1 board = MAGAZINE ROT POS 4, wire 222, CN2-6/CND2-6 (trusted over pg135 'wire 223').]</x:v>
      </x:c>
    </x:row>
    <x:row r="46">
      <x:c r="A46" s="82" t="str">
        <x:v>MAG_BCD_BIT3</x:v>
      </x:c>
      <x:c r="B46" s="82" t="str">
        <x:v>Magazine</x:v>
      </x:c>
      <x:c r="C46" s="82" t="str">
        <x:v>IN</x:v>
      </x:c>
      <x:c r="D46" s="82" t="str">
        <x:v>7i84U-A</x:v>
      </x:c>
      <x:c r="E46" s="82" t="str">
        <x:v>TB2</x:v>
      </x:c>
      <x:c r="F46" s="82" t="str">
        <x:v>IN22</x:v>
      </x:c>
      <x:c r="G46" s="82" t="str">
        <x:v>mag-bcd-bit3</x:v>
      </x:c>
      <x:c r="H46" s="83" t="str">
        <x:v>PRS-24 magazine BCD bit 3</x:v>
      </x:c>
      <x:c r="I46" s="83" t="str">
        <x:v>FACTORY_INTERFACE</x:v>
      </x:c>
      <x:c r="J46" s="83" t="str">
        <x:v>archived_wiring_map</x:v>
      </x:c>
      <x:c r="K46" s="83" t="str">
        <x:v>Decode with bcd2s or custom mux | [RECON 2026-08-08 §F: PRS-24 line 224 confirmed by Dwg 4143075409 (Motion Switch Input 3)] | [PINOUT-RECONCILED 2026-08-09: BBIA-1 board = MAGAZINE ROT POS 8, wire 223, CN2-7/CND2-7 (trusted over pg135 'wire 224').]</x:v>
      </x:c>
    </x:row>
    <x:row r="47">
      <x:c r="A47" s="82" t="str">
        <x:v>MAG_BCD_BIT4</x:v>
      </x:c>
      <x:c r="B47" s="82" t="str">
        <x:v>Magazine</x:v>
      </x:c>
      <x:c r="C47" s="82" t="str">
        <x:v>IN</x:v>
      </x:c>
      <x:c r="D47" s="82" t="str">
        <x:v>7i84U-A</x:v>
      </x:c>
      <x:c r="E47" s="82" t="str">
        <x:v>TB2</x:v>
      </x:c>
      <x:c r="F47" s="82" t="str">
        <x:v>IN23</x:v>
      </x:c>
      <x:c r="G47" s="82" t="str">
        <x:v>mag-bcd-bit4</x:v>
      </x:c>
      <x:c r="H47" s="83" t="str">
        <x:v>PRS-25 magazine BCD bit 4</x:v>
      </x:c>
      <x:c r="I47" s="83" t="str">
        <x:v>FACTORY_INTERFACE</x:v>
      </x:c>
      <x:c r="J47" s="83" t="str">
        <x:v>archived_wiring_map</x:v>
      </x:c>
      <x:c r="K47" s="83" t="str">
        <x:v>Decode with bcd2s or custom mux | [RECON 2026-08-08 §F: PRS-25 line 225 confirmed by Dwg 4143075409 (Motion Switch Input 3)] | [PINOUT-RECONCILED 2026-08-09: BBIA-1 board = MAGAZINE ROT POS 10, wire 224, CN2-8/CND2-8 (trusted over pg135 'wire 225'). NB: the field PRS-nn labels are pg135 PLC-side identities and may not match the board bit order - physical wire label is final.]</x:v>
      </x:c>
    </x:row>
    <x:row r="48">
      <x:c r="A48" s="82" t="str">
        <x:v>DOOR_INTERLOCK</x:v>
      </x:c>
      <x:c r="B48" s="82" t="str">
        <x:v>Safety</x:v>
      </x:c>
      <x:c r="C48" s="82" t="str">
        <x:v>IN</x:v>
      </x:c>
      <x:c r="D48" s="82" t="str">
        <x:v>7i84U-A</x:v>
      </x:c>
      <x:c r="E48" s="82" t="str">
        <x:v>TB2</x:v>
      </x:c>
      <x:c r="F48" s="82" t="str">
        <x:v>IN24</x:v>
      </x:c>
      <x:c r="G48" s="82" t="str">
        <x:v>door-interlock</x:v>
      </x:c>
      <x:c r="H48" s="83" t="str">
        <x:v>Door interlock switches series (LS-141 + LS-140 + PLC X01D ITMDSS.M all in one chain)</x:v>
      </x:c>
      <x:c r="I48" s="83" t="str">
        <x:v>FACTORY_INTERFACE</x:v>
      </x:c>
      <x:c r="J48" s="83" t="str">
        <x:v>archived_wiring_map + open_issues.md §3 (2026-08-03)</x:v>
      </x:c>
      <x:c r="K48" s="83" t="str">
        <x:v>Series-wired 2026-08-03: X01D ITMDSS consolidated with LS-140/141 pair. Choose door-open versus door-closed net after normal state is measured.</x:v>
      </x:c>
    </x:row>
    <x:row r="49">
      <x:c r="A49" s="82" t="str">
        <x:v>LUBE_OK</x:v>
      </x:c>
      <x:c r="B49" s="82" t="str">
        <x:v>Utility</x:v>
      </x:c>
      <x:c r="C49" s="82" t="str">
        <x:v>IN</x:v>
      </x:c>
      <x:c r="D49" s="82" t="str">
        <x:v>7i84U-A</x:v>
      </x:c>
      <x:c r="E49" s="82" t="str">
        <x:v>TB2</x:v>
      </x:c>
      <x:c r="F49" s="82" t="str">
        <x:v>IN25</x:v>
      </x:c>
      <x:c r="G49" s="82" t="str">
        <x:v>lube-ok</x:v>
      </x:c>
      <x:c r="H49" s="83" t="str">
        <x:v>PS-5 head-lube pressure switch wire 355 (PLC X079 HLP.M)</x:v>
      </x:c>
      <x:c r="I49" s="83" t="str">
        <x:v>FACTORY_INTERFACE</x:v>
      </x:c>
      <x:c r="J49" s="83" t="str">
        <x:v>Dwg 4143075338 pg100 + Dwg 4143075407 pg133 + owner machine confirmation 2026-08-09</x:v>
      </x:c>
      <x:c r="K49" s="83" t="str">
        <x:v>One physical head-lube pressure switch only: PS-5 wire 355 = X079 HLP.M. Owner confirmed on the machine 2026-08-09. X042 HLP2.M exists in the generic element list but has no second physical switch on SN 060231 and is not part of LUBE_OK. Land IN25 from PS-5 alone. Verify normal-state polarity and fail-open behavior before commissioning.</x:v>
      </x:c>
    </x:row>
    <x:row r="50">
      <x:c r="A50" s="82" t="str">
        <x:v>COOLANT_LOW</x:v>
      </x:c>
      <x:c r="B50" s="82" t="str">
        <x:v>Coolant</x:v>
      </x:c>
      <x:c r="C50" s="82" t="str">
        <x:v>IN</x:v>
      </x:c>
      <x:c r="D50" s="82" t="str">
        <x:v>7i84U-A</x:v>
      </x:c>
      <x:c r="E50" s="82" t="str">
        <x:v>TB2</x:v>
      </x:c>
      <x:c r="F50" s="82" t="str">
        <x:v>IN26</x:v>
      </x:c>
      <x:c r="G50" s="82" t="str">
        <x:v>coolant-low</x:v>
      </x:c>
      <x:c r="H50" s="83" t="str">
        <x:v>Coolant level switch</x:v>
      </x:c>
      <x:c r="I50" s="83" t="str">
        <x:v>FACTORY_INTERFACE</x:v>
      </x:c>
      <x:c r="J50" s="83" t="str">
        <x:v>archived_wiring_map</x:v>
      </x:c>
      <x:c r="K50" s="83" t="str">
        <x:v>Net name follows HAL (polarity assumption: low = warning). Verify normal-state polarity in cabinet before promoting.</x:v>
      </x:c>
    </x:row>
    <x:row r="51">
      <x:c r="A51" s="82" t="str">
        <x:v>HYD_PRESS_OK</x:v>
      </x:c>
      <x:c r="B51" s="82" t="str">
        <x:v>Hydraulic safety</x:v>
      </x:c>
      <x:c r="C51" s="82" t="str">
        <x:v>IN</x:v>
      </x:c>
      <x:c r="D51" s="82" t="str">
        <x:v>7i84U-A</x:v>
      </x:c>
      <x:c r="E51" s="82" t="str">
        <x:v>TB2</x:v>
      </x:c>
      <x:c r="F51" s="82" t="str">
        <x:v>IN27</x:v>
      </x:c>
      <x:c r="G51" s="82" t="str">
        <x:v>hydraulic-ok</x:v>
      </x:c>
      <x:c r="H51" s="83" t="str">
        <x:v>Sanwa SPS-8T-PC-20 pressure switch</x:v>
      </x:c>
      <x:c r="I51" s="83" t="str">
        <x:v>FACTORY_INTERFACE</x:v>
      </x:c>
      <x:c r="J51" s="83" t="str">
        <x:v>phase2_plan</x:v>
      </x:c>
      <x:c r="K51" s="83" t="str">
        <x:v>This supersedes stale signal_map.csv TB5 IN16 row</x:v>
      </x:c>
    </x:row>
    <x:row r="52">
      <x:c r="A52" s="82" t="str">
        <x:v>CYCLE_START_PB</x:v>
      </x:c>
      <x:c r="B52" s="82" t="str">
        <x:v>Panel</x:v>
      </x:c>
      <x:c r="C52" s="82" t="str">
        <x:v>IN</x:v>
      </x:c>
      <x:c r="D52" s="82" t="str">
        <x:v>none</x:v>
      </x:c>
      <x:c r="E52" s="82" t="str">
        <x:v>none</x:v>
      </x:c>
      <x:c r="F52" s="82" t="str">
        <x:v>none</x:v>
      </x:c>
      <x:c r="G52" s="82" t="str">
        <x:v>cycle-start-pb</x:v>
      </x:c>
      <x:c r="H52" s="83" t="str">
        <x:v>Operator cycle start pushbutton</x:v>
      </x:c>
      <x:c r="I52" s="83" t="str">
        <x:v>DEFERRED</x:v>
      </x:c>
      <x:c r="J52" s="83" t="str">
        <x:v>archived_wiring_map</x:v>
      </x:c>
      <x:c r="K52" s="83" t="str">
        <x:v>Displaced 2026-07-27: IN28 reclaimed for MAG_IN_POS (mandatory ATC input). Pendant WHB04B is the current cycle-start path; no 7i84U-B terminal is assigned unless the physical panel button is deliberately restored to scope.</x:v>
      </x:c>
    </x:row>
    <x:row r="53">
      <x:c r="A53" s="82" t="str">
        <x:v>MAG_IN_POS</x:v>
      </x:c>
      <x:c r="B53" s="82" t="str">
        <x:v>ATC</x:v>
      </x:c>
      <x:c r="C53" s="82" t="str">
        <x:v>IN</x:v>
      </x:c>
      <x:c r="D53" s="82" t="str">
        <x:v>7i84U-A</x:v>
      </x:c>
      <x:c r="E53" s="82" t="str">
        <x:v>TB2</x:v>
      </x:c>
      <x:c r="F53" s="82" t="str">
        <x:v>IN28</x:v>
      </x:c>
      <x:c r="G53" s="82" t="str">
        <x:v>mag-in-pos</x:v>
      </x:c>
      <x:c r="H53" s="83" t="str">
        <x:v>Magazine index in-position prox (PLC X00D MIPRS); BCD pot number valid only while TRUE</x:v>
      </x:c>
      <x:c r="I53" s="83" t="str">
        <x:v>FACTORY_INTERFACE</x:v>
      </x:c>
      <x:c r="J53" s="83" t="str">
        <x:v>atc_ladder_transcription_2026-07-27</x:v>
      </x:c>
      <x:c r="K53" s="83" t="str">
        <x:v>Mandatory for magazine indexing (rungs 3401/33xx). Writer added in field_7i84u.hal:79 (net mag-in-pos &lt;= input-28) on 2026-08-06. Verify prox type/polarity before commissioning. | [RECON 2026-08-08 CONFIRMED: MAG_IN_POS = PRS-13 MIPRS 'MAGAZINE INPOSITION' wire 213 X0D, Dwg 4143075409 pg135. In-position strobe; tool-# bits are PRS-21..25 (711P/712P/714P/718P/721P). Supersedes prior 'PRS-13=tool bit'.] | [PINOUT-RECONCILED 2026-08-09: BBIA-1 board = MAGAZINE POSITION OK, wire 225, CN2-9/CND2-9 (trusted). pg135 read the in-position prox as PRS-13/wire 213, but wire 213 is absent from the BBIA-1 pinout; POSITION OK is 225/CN2-9. PLC-side prox remains PRS-13/X00D.]</x:v>
      </x:c>
    </x:row>
    <x:row r="54">
      <x:c r="A54" s="82" t="str">
        <x:v>ESTOP_MONITOR</x:v>
      </x:c>
      <x:c r="B54" s="82" t="str">
        <x:v>Machine safety</x:v>
      </x:c>
      <x:c r="C54" s="82" t="str">
        <x:v>IN</x:v>
      </x:c>
      <x:c r="D54" s="82" t="str">
        <x:v>7i84U-A</x:v>
      </x:c>
      <x:c r="E54" s="82" t="str">
        <x:v>TB2</x:v>
      </x:c>
      <x:c r="F54" s="82" t="str">
        <x:v>IN29</x:v>
      </x:c>
      <x:c r="G54" s="82" t="str">
        <x:v>estop-monitor</x:v>
      </x:c>
      <x:c r="H54" s="83" t="str">
        <x:v>OEM MAR relay aux contact via interposing relay (Omron G2R-1-SND-DC24 or Phoenix PLC-RSC-24DC/21) driven from EHB bus</x:v>
      </x:c>
      <x:c r="I54" s="83" t="str">
        <x:v>PROPOSED</x:v>
      </x:c>
      <x:c r="J54" s="83" t="str">
        <x:v>front_control_panel_wiring.md §6.5 + open_issues.md §3 (2026-08-03)</x:v>
      </x:c>
      <x:c r="K54" s="83" t="str">
        <x:v>OEM MAR relay aux contact via interposing relay (Omron G2R-1-SND-DC24 or Phoenix PLC-RSC-24DC/21) driven from EHB bus. OEM/new-side boundary: dry contact only, no OEM P24 into 7i84U common. This is the sole software E-stop monitor; OEM hardware chain remains authoritative. | [LOCATED 2026-08-08: EMERGENCY STOP X00 *ESP via EMS/MAR relay, Dwg 4143075407 pg133. Mesa IN29 = status monitor only; keep hardwired, do NOT wire as normal input]</x:v>
      </x:c>
    </x:row>
    <x:row r="55">
      <x:c r="A55" s="82" t="str">
        <x:v>MANUAL_TOOL_CLAMP_PB</x:v>
      </x:c>
      <x:c r="B55" s="82" t="str">
        <x:v>ATC tool</x:v>
      </x:c>
      <x:c r="C55" s="82" t="str">
        <x:v>IN</x:v>
      </x:c>
      <x:c r="D55" s="82" t="str">
        <x:v>7i84U-A</x:v>
      </x:c>
      <x:c r="E55" s="82" t="str">
        <x:v>TB2</x:v>
      </x:c>
      <x:c r="F55" s="82" t="str">
        <x:v>IN30</x:v>
      </x:c>
      <x:c r="G55" s="82" t="str">
        <x:v>none</x:v>
      </x:c>
      <x:c r="H55" s="83" t="str">
        <x:v>Manual tool clamp FOOT switch (PLC X01B TCFS.M)</x:v>
      </x:c>
      <x:c r="I55" s="83" t="str">
        <x:v>RESERVED</x:v>
      </x:c>
      <x:c r="J55" s="83" t="str">
        <x:v>element_list_crosswalk_2026-07-27 + open_issues.md §3 (2026-08-03)</x:v>
      </x:c>
      <x:c r="K55" s="83" t="str">
        <x:v>Reserved terminal; intentionally HAL-unbound until the switch and safe manual-clamp behavior are field verified. Pairs with MANUAL_TOOL_UNCLAMP_PB on IN9. | [LOCATED 2026-08-08: X1B TCCF.M foot switch, wire 149B, T.U CN2-44, Dwg 4143075407 pg133] | [2026-08-09: RESERVED, hal_net none (was manual-clamp-pb) - manual clamp deferred per io_capacity_reconciliation.md; restore net when switch behavior is field-verified]</x:v>
      </x:c>
    </x:row>
    <x:row r="56">
      <x:c r="A56" s="82" t="str">
        <x:v>SERVO_READY</x:v>
      </x:c>
      <x:c r="B56" s="82" t="str">
        <x:v>Drive safety</x:v>
      </x:c>
      <x:c r="C56" s="82" t="str">
        <x:v>IN</x:v>
      </x:c>
      <x:c r="D56" s="82" t="str">
        <x:v>7i84U-A</x:v>
      </x:c>
      <x:c r="E56" s="82" t="str">
        <x:v>TB2</x:v>
      </x:c>
      <x:c r="F56" s="82" t="str">
        <x:v>IN31</x:v>
      </x:c>
      <x:c r="G56" s="82" t="str">
        <x:v>servo-ready</x:v>
      </x:c>
      <x:c r="H56" s="83" t="str">
        <x:v>Servo drives ready relay contact</x:v>
      </x:c>
      <x:c r="I56" s="83" t="str">
        <x:v>FACTORY_INTERFACE</x:v>
      </x:c>
      <x:c r="J56" s="83" t="str">
        <x:v>archived_wiring_map</x:v>
      </x:c>
      <x:c r="K56" s="83" t="str">
        <x:v>Wire before first motion if available</x:v>
      </x:c>
    </x:row>
    <x:row r="57">
      <x:c r="A57" s="82" t="str">
        <x:v>SPINDLE_FWD</x:v>
      </x:c>
      <x:c r="B57" s="82" t="str">
        <x:v>Spindle</x:v>
      </x:c>
      <x:c r="C57" s="82" t="str">
        <x:v>OUT</x:v>
      </x:c>
      <x:c r="D57" s="82" t="str">
        <x:v>7i84U-A</x:v>
      </x:c>
      <x:c r="E57" s="82" t="str">
        <x:v>TB3</x:v>
      </x:c>
      <x:c r="F57" s="82" t="str">
        <x:v>OUT0</x:v>
      </x:c>
      <x:c r="G57" s="82" t="str">
        <x:v>spindle-fwd</x:v>
      </x:c>
      <x:c r="H57" s="83" t="str">
        <x:v>FR-SX forward input</x:v>
      </x:c>
      <x:c r="I57" s="83" t="str">
        <x:v>FACTORY_INTERFACE</x:v>
      </x:c>
      <x:c r="J57" s="83" t="str">
        <x:v>archived_wiring_map</x:v>
      </x:c>
      <x:c r="K57" s="83" t="str">
        <x:v>Digital FWD signal to FR-SX | [RECON 2026-08-08 §D: FR-SX SRN]</x:v>
      </x:c>
    </x:row>
    <x:row r="58">
      <x:c r="A58" s="82" t="str">
        <x:v>SPINDLE_REV</x:v>
      </x:c>
      <x:c r="B58" s="82" t="str">
        <x:v>Spindle</x:v>
      </x:c>
      <x:c r="C58" s="82" t="str">
        <x:v>OUT</x:v>
      </x:c>
      <x:c r="D58" s="82" t="str">
        <x:v>7i84U-A</x:v>
      </x:c>
      <x:c r="E58" s="82" t="str">
        <x:v>TB3</x:v>
      </x:c>
      <x:c r="F58" s="82" t="str">
        <x:v>OUT1</x:v>
      </x:c>
      <x:c r="G58" s="82" t="str">
        <x:v>spindle-rev</x:v>
      </x:c>
      <x:c r="H58" s="83" t="str">
        <x:v>FR-SX reverse input</x:v>
      </x:c>
      <x:c r="I58" s="83" t="str">
        <x:v>FACTORY_INTERFACE</x:v>
      </x:c>
      <x:c r="J58" s="83" t="str">
        <x:v>archived_wiring_map</x:v>
      </x:c>
      <x:c r="K58" s="83" t="str">
        <x:v>Digital REV signal to FR-SX | [RECON 2026-08-08 §D: FR-SX SRI]</x:v>
      </x:c>
    </x:row>
    <x:row r="59">
      <x:c r="A59" s="82" t="str">
        <x:v>SPINDLE_ENABLE</x:v>
      </x:c>
      <x:c r="B59" s="82" t="str">
        <x:v>Spindle</x:v>
      </x:c>
      <x:c r="C59" s="82" t="str">
        <x:v>OUT</x:v>
      </x:c>
      <x:c r="D59" s="82" t="str">
        <x:v>7i84U-A</x:v>
      </x:c>
      <x:c r="E59" s="82" t="str">
        <x:v>TB3</x:v>
      </x:c>
      <x:c r="F59" s="82" t="str">
        <x:v>OUT2</x:v>
      </x:c>
      <x:c r="G59" s="82" t="str">
        <x:v>spindle-run-output</x:v>
      </x:c>
      <x:c r="H59" s="83" t="str">
        <x:v>FR-SX enable input</x:v>
      </x:c>
      <x:c r="I59" s="83" t="str">
        <x:v>FACTORY_INTERFACE</x:v>
      </x:c>
      <x:c r="J59" s="83" t="str">
        <x:v>field_7i84u.hal</x:v>
      </x:c>
      <x:c r="K59" s="83" t="str">
        <x:v>FWD, REV, RUN, ORCM1, and pwmgen.03.enable use spindle-motion-permit; the static hold initializes FALSE and watchdog, E-stop, machine-on, servo-ready, and spindle-fault states must also permit motion</x:v>
      </x:c>
    </x:row>
    <x:row r="60">
      <x:c r="A60" s="82" t="str">
        <x:v>HYD_PUMP_ON</x:v>
      </x:c>
      <x:c r="B60" s="82" t="str">
        <x:v>Hydraulic</x:v>
      </x:c>
      <x:c r="C60" s="82" t="str">
        <x:v>OUT</x:v>
      </x:c>
      <x:c r="D60" s="82" t="str">
        <x:v>7i84U-A</x:v>
      </x:c>
      <x:c r="E60" s="82" t="str">
        <x:v>TB3</x:v>
      </x:c>
      <x:c r="F60" s="82" t="str">
        <x:v>OUT3</x:v>
      </x:c>
      <x:c r="G60" s="82" t="str">
        <x:v>hyd-pump-on</x:v>
      </x:c>
      <x:c r="H60" s="83" t="str">
        <x:v>Hydraulic + head-lube pump contactor (PLC Y096 HYD.M)</x:v>
      </x:c>
      <x:c r="I60" s="83" t="str">
        <x:v>FACTORY_INTERFACE</x:v>
      </x:c>
      <x:c r="J60" s="83" t="str">
        <x:v>element_list_crosswalk_2026-07-27</x:v>
      </x:c>
      <x:c r="K60" s="83" t="str">
        <x:v>Required before clamp/gear/ATC; interposing relay for contactor coil; prove HYD_PRESS_OK after start | [RECON 2026-08-08 §A: element list confirms Y096 HYD.M combined hydraulic + head-lube pump on 060231]</x:v>
      </x:c>
    </x:row>
    <x:row r="61">
      <x:c r="A61" s="82" t="str">
        <x:v>SPINDLE_ORIENT_CMD</x:v>
      </x:c>
      <x:c r="B61" s="82" t="str">
        <x:v>Spindle</x:v>
      </x:c>
      <x:c r="C61" s="82" t="str">
        <x:v>OUT</x:v>
      </x:c>
      <x:c r="D61" s="82" t="str">
        <x:v>7i84U-A</x:v>
      </x:c>
      <x:c r="E61" s="82" t="str">
        <x:v>TB3</x:v>
      </x:c>
      <x:c r="F61" s="82" t="str">
        <x:v>OUT4</x:v>
      </x:c>
      <x:c r="G61" s="82" t="str">
        <x:v>spindle-orient-cmd</x:v>
      </x:c>
      <x:c r="H61" s="83" t="str">
        <x:v>FR-SX orient command (PLC Y093 ORCM1.M)</x:v>
      </x:c>
      <x:c r="I61" s="83" t="str">
        <x:v>FACTORY_INTERFACE</x:v>
      </x:c>
      <x:c r="J61" s="83" t="str">
        <x:v>element_list_crosswalk_2026-07-27</x:v>
      </x:c>
      <x:c r="K61" s="83" t="str">
        <x:v>Gated by spindle-motion-permit; validate ladder sequence exact drive terminal relay topology and polarity before landing the field wire | [RECON 2026-08-08 §A: element list confirms Y093 ORCM1.M 'SPINDLE ORIENT COMMAND' (.M not .MV) on 060231] | [RECON 2026-08-08 §D: FR-SX CTM] | [LOCATED 2026-08-08: ORC1 CON1-25 wire 4-12 T.U CN3-14, Dwg 4143075408 pg134]</x:v>
      </x:c>
    </x:row>
    <x:row r="62">
      <x:c r="A62" s="82" t="str">
        <x:v>SPINDLE_ORIENT_LOGEAR</x:v>
      </x:c>
      <x:c r="B62" s="82" t="str">
        <x:v>Spindle</x:v>
      </x:c>
      <x:c r="C62" s="82" t="str">
        <x:v>OUT</x:v>
      </x:c>
      <x:c r="D62" s="82" t="str">
        <x:v>7i84U-A</x:v>
      </x:c>
      <x:c r="E62" s="82" t="str">
        <x:v>TB3</x:v>
      </x:c>
      <x:c r="F62" s="82" t="str">
        <x:v>OUT5</x:v>
      </x:c>
      <x:c r="G62" s="82" t="str">
        <x:v>orient-lo-gear</x:v>
      </x:c>
      <x:c r="H62" s="83" t="str">
        <x:v>Low-gear orient assist (PLC Y094 CTL.M)</x:v>
      </x:c>
      <x:c r="I62" s="83" t="str">
        <x:v>FACTORY_INTERFACE</x:v>
      </x:c>
      <x:c r="J62" s="83" t="str">
        <x:v>element_list_crosswalk_2026-07-27</x:v>
      </x:c>
      <x:c r="K62" s="83" t="str">
        <x:v>Verify in ladder whether required in high gear too | [RECON 2026-08-08 §A: element list confirms Y094 CTL.M 'LOW GEAR ORIENT' — low-gear-specific on 060231] | [RECON 2026-08-08 §D: FR-SX GTL] | [LOCATED 2026-08-08: CTL 'LOW GEAR ORIENT' CON1-27 wire 4-13 T.U CN3-15, Dwg 4143075408 pg134 - confirms low-gear orient assist]</x:v>
      </x:c>
    </x:row>
    <x:row r="63">
      <x:c r="A63" s="82" t="str">
        <x:v>Z_BRAKE_REL_ENABLE</x:v>
      </x:c>
      <x:c r="B63" s="82" t="str">
        <x:v>Motion</x:v>
      </x:c>
      <x:c r="C63" s="82" t="str">
        <x:v>OUT</x:v>
      </x:c>
      <x:c r="D63" s="82" t="str">
        <x:v>7i84U-A</x:v>
      </x:c>
      <x:c r="E63" s="82" t="str">
        <x:v>TB3</x:v>
      </x:c>
      <x:c r="F63" s="82" t="str">
        <x:v>OUT6</x:v>
      </x:c>
      <x:c r="G63" s="82" t="str">
        <x:v>z-brake-release</x:v>
      </x:c>
      <x:c r="H63" s="83" t="str">
        <x:v>N1J-L2-201 Z brake release</x:v>
      </x:c>
      <x:c r="I63" s="83" t="str">
        <x:v>FACTORY_INTERFACE</x:v>
      </x:c>
      <x:c r="J63" s="83" t="str">
        <x:v>field_7i84u.hal</x:v>
      </x:c>
      <x:c r="K63" s="83" t="str">
        <x:v>Asymmetric sequence: z-brake-delay releases brake 100ms after request rises and engages it immediately when request falls; z-drive-drop-delay asserts S-ON immediately and retains it 100ms after request falls. Values are placeholders pending D7 measurement and drive-ready/brake-confirm feedback. Add suppression across SOL-201 coil.</x:v>
      </x:c>
    </x:row>
    <x:row r="64">
      <x:c r="A64" s="82" t="str">
        <x:v>GEAR_HI_SOL</x:v>
      </x:c>
      <x:c r="B64" s="82" t="str">
        <x:v>Spindle gear</x:v>
      </x:c>
      <x:c r="C64" s="82" t="str">
        <x:v>OUT</x:v>
      </x:c>
      <x:c r="D64" s="82" t="str">
        <x:v>7i84U-A</x:v>
      </x:c>
      <x:c r="E64" s="82" t="str">
        <x:v>TB3</x:v>
      </x:c>
      <x:c r="F64" s="82" t="str">
        <x:v>OUT7</x:v>
      </x:c>
      <x:c r="G64" s="82" t="str">
        <x:v>gear-hi-sol</x:v>
      </x:c>
      <x:c r="H64" s="83" t="str">
        <x:v>RLY-1 to SOL-12 Fujikoshi hydraulic valve</x:v>
      </x:c>
      <x:c r="I64" s="83" t="str">
        <x:v>FACTORY_INTERFACE</x:v>
      </x:c>
      <x:c r="J64" s="83" t="str">
        <x:v>phase2_plan</x:v>
      </x:c>
      <x:c r="K64" s="83" t="str">
        <x:v>Measure coil voltage before selecting relay contacts | [RECON 2026-08-08 §G: SWAPPED SOL-13-&gt;SOL-12 per Dwg 41431075414 p140 (Solenoid Driver 1) + element list Y00B GSH.M=SOL-12=HIGH] | [CONFIRMED 2026-08-08: pg100 TB-51 (Dwg 4143075338) wire 412-&gt;SOL-12-&gt;GEAR SHIFT HIGH; physical double-check of §G swap complete]</x:v>
      </x:c>
    </x:row>
    <x:row r="65">
      <x:c r="A65" s="82" t="str">
        <x:v>GEAR_LO_SOL</x:v>
      </x:c>
      <x:c r="B65" s="82" t="str">
        <x:v>Spindle gear</x:v>
      </x:c>
      <x:c r="C65" s="82" t="str">
        <x:v>OUT</x:v>
      </x:c>
      <x:c r="D65" s="82" t="str">
        <x:v>7i84U-A</x:v>
      </x:c>
      <x:c r="E65" s="82" t="str">
        <x:v>TB2</x:v>
      </x:c>
      <x:c r="F65" s="82" t="str">
        <x:v>OUT8</x:v>
      </x:c>
      <x:c r="G65" s="82" t="str">
        <x:v>gear-lo-sol</x:v>
      </x:c>
      <x:c r="H65" s="83" t="str">
        <x:v>RLY-2 to SOL-13 Fujikoshi hydraulic valve</x:v>
      </x:c>
      <x:c r="I65" s="83" t="str">
        <x:v>FACTORY_INTERFACE</x:v>
      </x:c>
      <x:c r="J65" s="83" t="str">
        <x:v>phase2_plan</x:v>
      </x:c>
      <x:c r="K65" s="83" t="str">
        <x:v>Conflict: connector_crossref.md omits SOL-12 and identifies SOL-13 as low; verify both gear-shift coils before wiring | [RECON 2026-08-08 §G: SWAPPED SOL-12-&gt;SOL-13 per Dwg 41431075414 p140 + element list Y00C GSL.M=SOL-13=LOW; HOLD_CONFLICT cleared] | [CONFIRMED 2026-08-08: pg100 TB-51 (Dwg 4143075338) wire 413-&gt;SOL-13-&gt;GEAR SHIFT LOW; physical double-check of §G swap complete]</x:v>
      </x:c>
    </x:row>
    <x:row r="66">
      <x:c r="A66" s="82" t="str">
        <x:v>TOOL_CLAMP_SOL</x:v>
      </x:c>
      <x:c r="B66" s="82" t="str">
        <x:v>ATC tool</x:v>
      </x:c>
      <x:c r="C66" s="82" t="str">
        <x:v>OUT</x:v>
      </x:c>
      <x:c r="D66" s="82" t="str">
        <x:v>7i84U-A</x:v>
      </x:c>
      <x:c r="E66" s="82" t="str">
        <x:v>TB2</x:v>
      </x:c>
      <x:c r="F66" s="82" t="str">
        <x:v>OUT9</x:v>
      </x:c>
      <x:c r="G66" s="82" t="str">
        <x:v>none</x:v>
      </x:c>
      <x:c r="H66" s="83" t="str">
        <x:v>PHANTOM - no separate clamp solenoid; SOL-10 is single-coil spring-return (clamp = de-energize). OUT9 free.</x:v>
      </x:c>
      <x:c r="I66" s="83" t="str">
        <x:v>NOT_USED</x:v>
      </x:c>
      <x:c r="J66" s="83" t="str">
        <x:v>phase2_plan</x:v>
      </x:c>
      <x:c r="K66" s="83" t="str">
        <x:v>[C5 RESOLVED 2026-08-09: dropped. SOL-10 single-coil spring-return tool-unclamp (pg100 + connector_crossref + Dwg141331AS041); clamp is spring return. OUT9 now free. Confirm single-coil by tracing RLY-3/RLY-4 at cabinet.]</x:v>
      </x:c>
    </x:row>
    <x:row r="67">
      <x:c r="A67" s="82" t="str">
        <x:v>TOOL_UNCLAMP_SOL</x:v>
      </x:c>
      <x:c r="B67" s="82" t="str">
        <x:v>ATC tool</x:v>
      </x:c>
      <x:c r="C67" s="82" t="str">
        <x:v>OUT</x:v>
      </x:c>
      <x:c r="D67" s="82" t="str">
        <x:v>7i84U-A</x:v>
      </x:c>
      <x:c r="E67" s="82" t="str">
        <x:v>TB2</x:v>
      </x:c>
      <x:c r="F67" s="82" t="str">
        <x:v>OUT10</x:v>
      </x:c>
      <x:c r="G67" s="82" t="str">
        <x:v>tool-unclamp-sol</x:v>
      </x:c>
      <x:c r="H67" s="83" t="str">
        <x:v>RLY-4 to SOL-10 Fujikoshi hydraulic valve</x:v>
      </x:c>
      <x:c r="I67" s="83" t="str">
        <x:v>FACTORY_INTERFACE</x:v>
      </x:c>
      <x:c r="J67" s="83" t="str">
        <x:v>phase2_plan</x:v>
      </x:c>
      <x:c r="K67" s="83" t="str">
        <x:v>Evidence supports SOL-10 tool unclamp; verify relay path and whether the valve is single-coil or dual-coil before energizing | [C5 2026-08-09: sole tool-clamp/unclamp output. SOL-10 single-coil spring-return - energize=unclamp, de-energize=clamp. TOOL_CLAMP_SOL/OUT9 dropped. Confirm RLY-4 load at cabinet.]</x:v>
      </x:c>
    </x:row>
    <x:row r="68">
      <x:c r="A68" s="82" t="str">
        <x:v>COOLANT_ON</x:v>
      </x:c>
      <x:c r="B68" s="82" t="str">
        <x:v>Coolant</x:v>
      </x:c>
      <x:c r="C68" s="82" t="str">
        <x:v>OUT</x:v>
      </x:c>
      <x:c r="D68" s="82" t="str">
        <x:v>7i84U-A</x:v>
      </x:c>
      <x:c r="E68" s="82" t="str">
        <x:v>TB2</x:v>
      </x:c>
      <x:c r="F68" s="82" t="str">
        <x:v>OUT11</x:v>
      </x:c>
      <x:c r="G68" s="82" t="str">
        <x:v>flood-coolant</x:v>
      </x:c>
      <x:c r="H68" s="83" t="str">
        <x:v>Coolant pump relay</x:v>
      </x:c>
      <x:c r="I68" s="83" t="str">
        <x:v>FACTORY_INTERFACE</x:v>
      </x:c>
      <x:c r="J68" s="83" t="str">
        <x:v>archived_wiring_map</x:v>
      </x:c>
      <x:c r="K68" s="83" t="str">
        <x:v>May need interposing relay</x:v>
      </x:c>
    </x:row>
    <x:row r="69">
      <x:c r="A69" s="82" t="str">
        <x:v>MIST_COOLANT</x:v>
      </x:c>
      <x:c r="B69" s="82" t="str">
        <x:v>Utility</x:v>
      </x:c>
      <x:c r="C69" s="82" t="str">
        <x:v>OUT</x:v>
      </x:c>
      <x:c r="D69" s="82" t="str">
        <x:v>7i84U-A</x:v>
      </x:c>
      <x:c r="E69" s="82" t="str">
        <x:v>TB2</x:v>
      </x:c>
      <x:c r="F69" s="82" t="str">
        <x:v>OUT12</x:v>
      </x:c>
      <x:c r="G69" s="82" t="str">
        <x:v>none</x:v>
      </x:c>
      <x:c r="H69" s="83" t="str">
        <x:v>NOT USED - mist coolant eliminated 2026-08-09 (no mist system on this machine); OUT12 free</x:v>
      </x:c>
      <x:c r="I69" s="83" t="str">
        <x:v>NOT_USED</x:v>
      </x:c>
      <x:c r="J69" s="83" t="str">
        <x:v>archived_wiring_map</x:v>
      </x:c>
      <x:c r="K69" s="83" t="str">
        <x:v>[ELIMINATED 2026-08-09: owner confirms no mist coolant system. HOLD_CONFLICT void; 7i84U-A TB2 OUT12 now available. The commented iocontrol.0.coolant-mist net can be removed from the HAL.]</x:v>
      </x:c>
    </x:row>
    <x:row r="70">
      <x:c r="A70" s="82" t="str">
        <x:v>MAG_CW_SOL</x:v>
      </x:c>
      <x:c r="B70" s="82" t="str">
        <x:v>ATC motor</x:v>
      </x:c>
      <x:c r="C70" s="82" t="str">
        <x:v>OUT</x:v>
      </x:c>
      <x:c r="D70" s="82" t="str">
        <x:v>7i84U-A</x:v>
      </x:c>
      <x:c r="E70" s="82" t="str">
        <x:v>TB2</x:v>
      </x:c>
      <x:c r="F70" s="82" t="str">
        <x:v>OUT13</x:v>
      </x:c>
      <x:c r="G70" s="82" t="str">
        <x:v>mag-cw-sol</x:v>
      </x:c>
      <x:c r="H70" s="83" t="str">
        <x:v>ATC magazine CW rotation relay -&gt; SOL-8B (pg91 Dwg 4143075332: SOL-8B=408B=MAGAZINE CW/reverse)</x:v>
      </x:c>
      <x:c r="I70" s="83" t="str">
        <x:v>COMMISSIONING_PENDING</x:v>
      </x:c>
      <x:c r="J70" s="83" t="str">
        <x:v>archived_wiring_map</x:v>
      </x:c>
      <x:c r="K70" s="83" t="str">
        <x:v>CONFLICT #3 in wiring/authority_conflicts.md: SOL-8A/8B direction mapping unproven. Renamed from atc-fwd to match atc_orient.hal net. Verify direction under controlled commissioning. | [RESOLVED 2026-08-09: coil identity = SOL-8B (CW) per pg91 + connector_crossref (both agree; alarm-table OCR was wrong). Prior 'SOL-8A' was backwards. HOLD_CONFLICT cleared. PENDING BENCH: verify observed magazine rotation under controlled commissioning before landing/energizing.]</x:v>
      </x:c>
    </x:row>
    <x:row r="71">
      <x:c r="A71" s="82" t="str">
        <x:v>MAG_CCW_SOL</x:v>
      </x:c>
      <x:c r="B71" s="82" t="str">
        <x:v>ATC motor</x:v>
      </x:c>
      <x:c r="C71" s="82" t="str">
        <x:v>OUT</x:v>
      </x:c>
      <x:c r="D71" s="82" t="str">
        <x:v>7i84U-A</x:v>
      </x:c>
      <x:c r="E71" s="82" t="str">
        <x:v>TB2</x:v>
      </x:c>
      <x:c r="F71" s="82" t="str">
        <x:v>OUT14</x:v>
      </x:c>
      <x:c r="G71" s="82" t="str">
        <x:v>mag-ccw-sol</x:v>
      </x:c>
      <x:c r="H71" s="83" t="str">
        <x:v>ATC magazine CCW rotation relay -&gt; SOL-8A (pg91 Dwg 4143075332: SOL-8A=408A=MAGAZINE CCW/forward)</x:v>
      </x:c>
      <x:c r="I71" s="83" t="str">
        <x:v>COMMISSIONING_PENDING</x:v>
      </x:c>
      <x:c r="J71" s="83" t="str">
        <x:v>archived_wiring_map</x:v>
      </x:c>
      <x:c r="K71" s="83" t="str">
        <x:v>CONFLICT #3 in wiring/authority_conflicts.md: SOL-8A/8B direction mapping unproven. Renamed from atc-rev to match atc_orient.hal net. Verify direction under controlled commissioning. | [RESOLVED 2026-08-09: coil identity = SOL-8A (CCW) per pg91 + connector_crossref. Prior 'SOL-8B' was backwards. HOLD_CONFLICT cleared. PENDING BENCH: verify observed magazine rotation under controlled commissioning before landing/energizing.]</x:v>
      </x:c>
    </x:row>
    <x:row r="72">
      <x:c r="A72" s="82" t="str">
        <x:v>ALARM_OUT</x:v>
      </x:c>
      <x:c r="B72" s="82" t="str">
        <x:v>Panel</x:v>
      </x:c>
      <x:c r="C72" s="82" t="str">
        <x:v>OUT</x:v>
      </x:c>
      <x:c r="D72" s="82" t="str">
        <x:v>7i84U-A</x:v>
      </x:c>
      <x:c r="E72" s="82" t="str">
        <x:v>TB2</x:v>
      </x:c>
      <x:c r="F72" s="82" t="str">
        <x:v>OUT15</x:v>
      </x:c>
      <x:c r="G72" s="82" t="str">
        <x:v>none</x:v>
      </x:c>
      <x:c r="H72" s="83" t="str">
        <x:v>Alarm light or horn</x:v>
      </x:c>
      <x:c r="I72" s="83" t="str">
        <x:v>RESERVED</x:v>
      </x:c>
      <x:c r="J72" s="83" t="str">
        <x:v>archived_wiring_map</x:v>
      </x:c>
      <x:c r="K72" s="83" t="str">
        <x:v>Confirm load and behavior | [2026-08-09: RESERVED, hal_net none (was alarm-out) - optional load unconfirmed; restore net when alarm device is chosen]</x:v>
      </x:c>
    </x:row>
    <x:row r="73">
      <x:c r="A73" s="82" t="str">
        <x:v>SSERIAL_PORT1_TXA</x:v>
      </x:c>
      <x:c r="B73" s="82" t="str">
        <x:v>Field I/O</x:v>
      </x:c>
      <x:c r="C73" s="82" t="str">
        <x:v>LINK</x:v>
      </x:c>
      <x:c r="D73" s="82" t="str">
        <x:v>7i44</x:v>
      </x:c>
      <x:c r="E73" s="82" t="str">
        <x:v>P1 7i44 physical channel 1</x:v>
      </x:c>
      <x:c r="F73" s="82" t="str">
        <x:v>port1.TX+</x:v>
      </x:c>
      <x:c r="G73" s="82" t="str">
        <x:v>none</x:v>
      </x:c>
      <x:c r="H73" s="83" t="str">
        <x:v>7i84U-B RJ45 pin 2 RX+</x:v>
      </x:c>
      <x:c r="I73" s="83" t="str">
        <x:v>FACTORY_LINK</x:v>
      </x:c>
      <x:c r="J73" s="83" t="str">
        <x:v>mesa_firmware_checklist.md</x:v>
      </x:c>
      <x:c r="K73" s="83" t="str">
        <x:v>7i44 channel 1 to 7i84U-B CN0 under HostMot2 port 0; 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4">
      <x:c r="A74" s="82" t="str">
        <x:v>SSERIAL_PORT1_TXB</x:v>
      </x:c>
      <x:c r="B74" s="82" t="str">
        <x:v>Field I/O</x:v>
      </x:c>
      <x:c r="C74" s="82" t="str">
        <x:v>LINK</x:v>
      </x:c>
      <x:c r="D74" s="82" t="str">
        <x:v>7i44</x:v>
      </x:c>
      <x:c r="E74" s="82" t="str">
        <x:v>P1 7i44 physical channel 1</x:v>
      </x:c>
      <x:c r="F74" s="82" t="str">
        <x:v>port1.TX-</x:v>
      </x:c>
      <x:c r="G74" s="82" t="str">
        <x:v>none</x:v>
      </x:c>
      <x:c r="H74" s="83" t="str">
        <x:v>7i84U-B RJ45 pin 1 RX-</x:v>
      </x:c>
      <x:c r="I74" s="83" t="str">
        <x:v>FACTORY_LINK</x:v>
      </x:c>
      <x:c r="J74" s="83" t="str">
        <x:v>mesa_firmware_checklist.md</x:v>
      </x:c>
      <x:c r="K74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5">
      <x:c r="A75" s="82" t="str">
        <x:v>SSERIAL_PORT1_RXA</x:v>
      </x:c>
      <x:c r="B75" s="82" t="str">
        <x:v>Field I/O</x:v>
      </x:c>
      <x:c r="C75" s="82" t="str">
        <x:v>LINK</x:v>
      </x:c>
      <x:c r="D75" s="82" t="str">
        <x:v>7i44</x:v>
      </x:c>
      <x:c r="E75" s="82" t="str">
        <x:v>P1 7i44 physical channel 1</x:v>
      </x:c>
      <x:c r="F75" s="82" t="str">
        <x:v>port1.RX+</x:v>
      </x:c>
      <x:c r="G75" s="82" t="str">
        <x:v>none</x:v>
      </x:c>
      <x:c r="H75" s="83" t="str">
        <x:v>7i84U-B RJ45 pin 6 TX+</x:v>
      </x:c>
      <x:c r="I75" s="83" t="str">
        <x:v>FACTORY_LINK</x:v>
      </x:c>
      <x:c r="J75" s="83" t="str">
        <x:v>mesa_firmware_checklist.md</x:v>
      </x:c>
      <x:c r="K75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6">
      <x:c r="A76" s="82" t="str">
        <x:v>SSERIAL_PORT1_RXB</x:v>
      </x:c>
      <x:c r="B76" s="82" t="str">
        <x:v>Field I/O</x:v>
      </x:c>
      <x:c r="C76" s="82" t="str">
        <x:v>LINK</x:v>
      </x:c>
      <x:c r="D76" s="82" t="str">
        <x:v>7i44</x:v>
      </x:c>
      <x:c r="E76" s="82" t="str">
        <x:v>P1 7i44 physical channel 1</x:v>
      </x:c>
      <x:c r="F76" s="82" t="str">
        <x:v>port1.RX-</x:v>
      </x:c>
      <x:c r="G76" s="82" t="str">
        <x:v>none</x:v>
      </x:c>
      <x:c r="H76" s="83" t="str">
        <x:v>7i84U-B RJ45 pin 3 TX-</x:v>
      </x:c>
      <x:c r="I76" s="83" t="str">
        <x:v>FACTORY_LINK</x:v>
      </x:c>
      <x:c r="J76" s="83" t="str">
        <x:v>mesa_firmware_checklist.md</x:v>
      </x:c>
      <x:c r="K76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7">
      <x:c r="A77" s="82" t="str">
        <x:v>SSERIAL_PORT1_GND</x:v>
      </x:c>
      <x:c r="B77" s="82" t="str">
        <x:v>Field I/O</x:v>
      </x:c>
      <x:c r="C77" s="82" t="str">
        <x:v>LINK</x:v>
      </x:c>
      <x:c r="D77" s="82" t="str">
        <x:v>7i44</x:v>
      </x:c>
      <x:c r="E77" s="82" t="str">
        <x:v>P1 7i44 physical channel 1</x:v>
      </x:c>
      <x:c r="F77" s="82" t="str">
        <x:v>port1.GND</x:v>
      </x:c>
      <x:c r="G77" s="82" t="str">
        <x:v>none</x:v>
      </x:c>
      <x:c r="H77" s="83" t="str">
        <x:v>7i84U-B RJ45 pin 4/5 ground</x:v>
      </x:c>
      <x:c r="I77" s="83" t="str">
        <x:v>FACTORY_LINK</x:v>
      </x:c>
      <x:c r="J77" s="83" t="str">
        <x:v>mesa_firmware_checklist.md</x:v>
      </x:c>
      <x:c r="K77" s="83" t="str">
        <x:v>Factory-link signal ground; cable construction is not field-modified | [MESA-CONFIRMED 2026-08-08: matches 7i84U J1 RJ-45 pinout (7i84uman.pdf: p1 RXA/p2 RXB/p3 TXA/p6 TXB/p4-5 GND/p7-8 +5V, 568B colors); straight CAT5 to 7i44] | [READY 2026-08-09: two distinct plug-in segments: Mesa 50-pin IDC from 7i80HDT P1 to 7i44, then CAT5 smart-serial from 7i44 channel 1 to 7i84U-B.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8">
      <x:c r="A78" s="82" t="str">
        <x:v>SSERIAL_PORT1_5V</x:v>
      </x:c>
      <x:c r="B78" s="82" t="str">
        <x:v>Field I/O</x:v>
      </x:c>
      <x:c r="C78" s="82" t="str">
        <x:v>LINK</x:v>
      </x:c>
      <x:c r="D78" s="82" t="str">
        <x:v>7i44</x:v>
      </x:c>
      <x:c r="E78" s="82" t="str">
        <x:v>P1 7i44 physical channel 1</x:v>
      </x:c>
      <x:c r="F78" s="82" t="str">
        <x:v>port1.+5V</x:v>
      </x:c>
      <x:c r="G78" s="82" t="str">
        <x:v>none</x:v>
      </x:c>
      <x:c r="H78" s="83" t="str">
        <x:v>7i84U-B RJ45 pin 7/8 +5V</x:v>
      </x:c>
      <x:c r="I78" s="83" t="str">
        <x:v>FACTORY_LINK</x:v>
      </x:c>
      <x:c r="J78" s="83" t="str">
        <x:v>mesa_firmware_checklist.md</x:v>
      </x:c>
      <x:c r="K78" s="83" t="str">
        <x:v>Serial power for 7i84U-B logic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9">
      <x:c r="A79" s="82" t="str">
        <x:v>SEVENI84UB_FIELD_A_24V</x:v>
      </x:c>
      <x:c r="B79" s="82" t="str">
        <x:v>Power</x:v>
      </x:c>
      <x:c r="C79" s="82" t="str">
        <x:v>POWER</x:v>
      </x:c>
      <x:c r="D79" s="82" t="str">
        <x:v>7i84U-B</x:v>
      </x:c>
      <x:c r="E79" s="82" t="str">
        <x:v>TB1</x:v>
      </x:c>
      <x:c r="F79" s="82" t="str">
        <x:v>TB1 pins 3/4 VFIELDA (+24 V field power, 5-28 VDC)</x:v>
      </x:c>
      <x:c r="G79" s="82" t="str">
        <x:v>none</x:v>
      </x:c>
      <x:c r="H79" s="83" t="str">
        <x:v>Field power bank A (TB3 I/O)</x:v>
      </x:c>
      <x:c r="I79" s="83" t="str">
        <x:v>PROPOSED</x:v>
      </x:c>
      <x:c r="J79" s="83" t="str">
        <x:v>Mesa 7i84U manual pp.2/7-8/47</x:v>
      </x:c>
      <x:c r="K79" s="83" t="str">
        <x:v>Both terminals are VFIELDA; powers TB3 outputs 0-7 and inputs 0-15. Never connect either pin to 0 V.</x:v>
      </x:c>
    </x:row>
    <x:row r="80">
      <x:c r="A80" s="82" t="str">
        <x:v>SEVENI84UB_FIELD_B_24V</x:v>
      </x:c>
      <x:c r="B80" s="82" t="str">
        <x:v>Power</x:v>
      </x:c>
      <x:c r="C80" s="82" t="str">
        <x:v>POWER</x:v>
      </x:c>
      <x:c r="D80" s="82" t="str">
        <x:v>7i84U-B</x:v>
      </x:c>
      <x:c r="E80" s="82" t="str">
        <x:v>TB1</x:v>
      </x:c>
      <x:c r="F80" s="82" t="str">
        <x:v>TB1 pins 1/2 VFIELDB (+24 V field power, 5-28 VDC)</x:v>
      </x:c>
      <x:c r="G80" s="82" t="str">
        <x:v>none</x:v>
      </x:c>
      <x:c r="H80" s="83" t="str">
        <x:v>Field power bank B (TB2 I/O)</x:v>
      </x:c>
      <x:c r="I80" s="83" t="str">
        <x:v>PROPOSED</x:v>
      </x:c>
      <x:c r="J80" s="83" t="str">
        <x:v>Mesa 7i84U manual pp.2/7-8/47</x:v>
      </x:c>
      <x:c r="K80" s="83" t="str">
        <x:v>Both terminals are VFIELDB; powers TB2 outputs 8-15 and inputs 16-31. Never connect either pin to 0 V.</x:v>
      </x:c>
    </x:row>
    <x:row r="81">
      <x:c r="A81" s="82" t="str">
        <x:v>X_LIMIT_PLUS</x:v>
      </x:c>
      <x:c r="B81" s="82" t="str">
        <x:v>Axis safety</x:v>
      </x:c>
      <x:c r="C81" s="82" t="str">
        <x:v>IN</x:v>
      </x:c>
      <x:c r="D81" s="82" t="str">
        <x:v>7i84U-B</x:v>
      </x:c>
      <x:c r="E81" s="82" t="str">
        <x:v>TB3</x:v>
      </x:c>
      <x:c r="F81" s="82" t="str">
        <x:v>IN0</x:v>
      </x:c>
      <x:c r="G81" s="82" t="str">
        <x:v>limit-x-plus</x:v>
      </x:c>
      <x:c r="H81" s="83" t="str">
        <x:v>X positive overtravel limit (NC)</x:v>
      </x:c>
      <x:c r="I81" s="83" t="str">
        <x:v>FACTORY_INTERFACE</x:v>
      </x:c>
      <x:c r="J81" s="83" t="str">
        <x:v>field_7i84u.hal</x:v>
      </x:c>
      <x:c r="K81" s="83" t="str">
        <x:v>NC contact consumed through input-00-not; promote to FIELD_VERIFIED after continuity and fail-open test | [LOCATED 2026-08-09: +X OVER TRAVEL X20 *+LX wire 1-45, Dwg 4143075410 (Motion Switch Input 4) pg136]</x:v>
      </x:c>
    </x:row>
    <x:row r="82">
      <x:c r="A82" s="82" t="str">
        <x:v>X_LIMIT_MINUS</x:v>
      </x:c>
      <x:c r="B82" s="82" t="str">
        <x:v>Axis safety</x:v>
      </x:c>
      <x:c r="C82" s="82" t="str">
        <x:v>IN</x:v>
      </x:c>
      <x:c r="D82" s="82" t="str">
        <x:v>7i84U-B</x:v>
      </x:c>
      <x:c r="E82" s="82" t="str">
        <x:v>TB3</x:v>
      </x:c>
      <x:c r="F82" s="82" t="str">
        <x:v>IN1</x:v>
      </x:c>
      <x:c r="G82" s="82" t="str">
        <x:v>limit-x-minus</x:v>
      </x:c>
      <x:c r="H82" s="83" t="str">
        <x:v>X negative overtravel limit (NC)</x:v>
      </x:c>
      <x:c r="I82" s="83" t="str">
        <x:v>FACTORY_INTERFACE</x:v>
      </x:c>
      <x:c r="J82" s="83" t="str">
        <x:v>field_7i84u.hal</x:v>
      </x:c>
      <x:c r="K82" s="83" t="str">
        <x:v>NC contact consumed through input-01-not; promote to FIELD_VERIFIED after continuity and fail-open test | [LOCATED 2026-08-09: -X OVER TRAVEL X21 *-LX wire 1-46, Dwg 4143075410 (Motion Switch Input 4) pg136]</x:v>
      </x:c>
    </x:row>
    <x:row r="83">
      <x:c r="A83" s="82" t="str">
        <x:v>Y_LIMIT_PLUS</x:v>
      </x:c>
      <x:c r="B83" s="82" t="str">
        <x:v>Axis safety</x:v>
      </x:c>
      <x:c r="C83" s="82" t="str">
        <x:v>IN</x:v>
      </x:c>
      <x:c r="D83" s="82" t="str">
        <x:v>7i84U-B</x:v>
      </x:c>
      <x:c r="E83" s="82" t="str">
        <x:v>TB3</x:v>
      </x:c>
      <x:c r="F83" s="82" t="str">
        <x:v>IN2</x:v>
      </x:c>
      <x:c r="G83" s="82" t="str">
        <x:v>limit-y-plus</x:v>
      </x:c>
      <x:c r="H83" s="83" t="str">
        <x:v>Y positive overtravel limit (NC)</x:v>
      </x:c>
      <x:c r="I83" s="83" t="str">
        <x:v>FACTORY_INTERFACE</x:v>
      </x:c>
      <x:c r="J83" s="83" t="str">
        <x:v>field_7i84u.hal</x:v>
      </x:c>
      <x:c r="K83" s="83" t="str">
        <x:v>NC contact consumed through input-02-not; promote to FIELD_VERIFIED after continuity and fail-open test | [LOCATED 2026-08-09: +Y OVER TRAVEL X22 *+LY wire 1-47, Dwg 4143075410 (Motion Switch Input 4) pg136]</x:v>
      </x:c>
    </x:row>
    <x:row r="84">
      <x:c r="A84" s="82" t="str">
        <x:v>Y_LIMIT_MINUS</x:v>
      </x:c>
      <x:c r="B84" s="82" t="str">
        <x:v>Axis safety</x:v>
      </x:c>
      <x:c r="C84" s="82" t="str">
        <x:v>IN</x:v>
      </x:c>
      <x:c r="D84" s="82" t="str">
        <x:v>7i84U-B</x:v>
      </x:c>
      <x:c r="E84" s="82" t="str">
        <x:v>TB3</x:v>
      </x:c>
      <x:c r="F84" s="82" t="str">
        <x:v>IN3</x:v>
      </x:c>
      <x:c r="G84" s="82" t="str">
        <x:v>limit-y-minus</x:v>
      </x:c>
      <x:c r="H84" s="83" t="str">
        <x:v>Y negative overtravel limit (NC)</x:v>
      </x:c>
      <x:c r="I84" s="83" t="str">
        <x:v>FACTORY_INTERFACE</x:v>
      </x:c>
      <x:c r="J84" s="83" t="str">
        <x:v>field_7i84u.hal</x:v>
      </x:c>
      <x:c r="K84" s="83" t="str">
        <x:v>NC contact consumed through input-03-not; promote to FIELD_VERIFIED after continuity and fail-open test | [LOCATED 2026-08-09: -Y OVER TRAVEL X23 *-LY wire 1-48, Dwg 4143075410 (Motion Switch Input 4) pg136]</x:v>
      </x:c>
    </x:row>
    <x:row r="85">
      <x:c r="A85" s="82" t="str">
        <x:v>Z_LIMIT_PLUS</x:v>
      </x:c>
      <x:c r="B85" s="82" t="str">
        <x:v>Axis safety</x:v>
      </x:c>
      <x:c r="C85" s="82" t="str">
        <x:v>IN</x:v>
      </x:c>
      <x:c r="D85" s="82" t="str">
        <x:v>7i84U-B</x:v>
      </x:c>
      <x:c r="E85" s="82" t="str">
        <x:v>TB3</x:v>
      </x:c>
      <x:c r="F85" s="82" t="str">
        <x:v>IN4</x:v>
      </x:c>
      <x:c r="G85" s="82" t="str">
        <x:v>limit-z-plus</x:v>
      </x:c>
      <x:c r="H85" s="83" t="str">
        <x:v>Z positive overtravel limit (NC)</x:v>
      </x:c>
      <x:c r="I85" s="83" t="str">
        <x:v>FACTORY_INTERFACE</x:v>
      </x:c>
      <x:c r="J85" s="83" t="str">
        <x:v>field_7i84u.hal</x:v>
      </x:c>
      <x:c r="K85" s="83" t="str">
        <x:v>NC contact consumed through input-04-not; promote to FIELD_VERIFIED after continuity and fail-open test | [LOCATED 2026-08-09: +Z OVER TRAVEL X24 *+LZ wire 1-49, Dwg 4143075410 (Motion Switch Input 4) pg136]</x:v>
      </x:c>
    </x:row>
    <x:row r="86">
      <x:c r="A86" s="82" t="str">
        <x:v>Z_LIMIT_MINUS</x:v>
      </x:c>
      <x:c r="B86" s="82" t="str">
        <x:v>Axis safety</x:v>
      </x:c>
      <x:c r="C86" s="82" t="str">
        <x:v>IN</x:v>
      </x:c>
      <x:c r="D86" s="82" t="str">
        <x:v>7i84U-B</x:v>
      </x:c>
      <x:c r="E86" s="82" t="str">
        <x:v>TB3</x:v>
      </x:c>
      <x:c r="F86" s="82" t="str">
        <x:v>IN5</x:v>
      </x:c>
      <x:c r="G86" s="82" t="str">
        <x:v>limit-z-minus</x:v>
      </x:c>
      <x:c r="H86" s="83" t="str">
        <x:v>Z negative overtravel limit (NC)</x:v>
      </x:c>
      <x:c r="I86" s="83" t="str">
        <x:v>FACTORY_INTERFACE</x:v>
      </x:c>
      <x:c r="J86" s="83" t="str">
        <x:v>field_7i84u.hal</x:v>
      </x:c>
      <x:c r="K86" s="83" t="str">
        <x:v>NC contact consumed through input-05-not; promote to FIELD_VERIFIED after continuity and fail-open test | [LOCATED 2026-08-09: -Z OVER TRAVEL X25 *-LZ wire 1-50, Dwg 4143075410 (Motion Switch Input 4) pg136. Physical LS switch designator not on this sheet - bench-verify]</x:v>
      </x:c>
    </x:row>
    <x:row r="87">
      <x:c r="A87" s="82" t="str">
        <x:v>X_HOME</x:v>
      </x:c>
      <x:c r="B87" s="82" t="str">
        <x:v>Axis safety</x:v>
      </x:c>
      <x:c r="C87" s="82" t="str">
        <x:v>IN</x:v>
      </x:c>
      <x:c r="D87" s="82" t="str">
        <x:v>7i84U-B</x:v>
      </x:c>
      <x:c r="E87" s="82" t="str">
        <x:v>TB3</x:v>
      </x:c>
      <x:c r="F87" s="82" t="str">
        <x:v>IN6</x:v>
      </x:c>
      <x:c r="G87" s="82" t="str">
        <x:v>home-x</x:v>
      </x:c>
      <x:c r="H87" s="83" t="str">
        <x:v>X home switch (LS-42 confirmed)</x:v>
      </x:c>
      <x:c r="I87" s="83" t="str">
        <x:v>FACTORY_INTERFACE</x:v>
      </x:c>
      <x:c r="J87" s="83" t="str">
        <x:v>field_7i84u.hal</x:v>
      </x:c>
      <x:c r="K87" s="83" t="str">
        <x:v>NO contact; was ACCEPTED_VERIFY - promote to TRACED after physical continuity + fail-open test | [LOCATED 2026-08-09: LS-42 X zero-return decel, X28 *DECX wire 1-16 (home reference), Dwg 4143075410 (Motion Switch Input 4) pg136 + pg91]</x:v>
      </x:c>
    </x:row>
    <x:row r="88">
      <x:c r="A88" s="82" t="str">
        <x:v>Y_HOME</x:v>
      </x:c>
      <x:c r="B88" s="82" t="str">
        <x:v>Axis safety</x:v>
      </x:c>
      <x:c r="C88" s="82" t="str">
        <x:v>IN</x:v>
      </x:c>
      <x:c r="D88" s="82" t="str">
        <x:v>7i84U-B</x:v>
      </x:c>
      <x:c r="E88" s="82" t="str">
        <x:v>TB3</x:v>
      </x:c>
      <x:c r="F88" s="82" t="str">
        <x:v>IN7</x:v>
      </x:c>
      <x:c r="G88" s="82" t="str">
        <x:v>home-y</x:v>
      </x:c>
      <x:c r="H88" s="83" t="str">
        <x:v>Y home switch (LS-52)</x:v>
      </x:c>
      <x:c r="I88" s="83" t="str">
        <x:v>FACTORY_INTERFACE</x:v>
      </x:c>
      <x:c r="J88" s="83" t="str">
        <x:v>field_7i84u.hal</x:v>
      </x:c>
      <x:c r="K88" s="83" t="str">
        <x:v>NO contact; was ACCEPTED_VERIFY - promote to TRACED after physical continuity + fail-open test | [LOCATED 2026-08-09: LS-52 Y zero-return decel, X29 *DECY wire 1-17 (home reference), Dwg 4143075410 (Motion Switch Input 4) pg136; LS digit faded - verify]</x:v>
      </x:c>
    </x:row>
    <x:row r="89">
      <x:c r="A89" s="82" t="str">
        <x:v>Z_HOME</x:v>
      </x:c>
      <x:c r="B89" s="82" t="str">
        <x:v>Axis safety</x:v>
      </x:c>
      <x:c r="C89" s="82" t="str">
        <x:v>IN</x:v>
      </x:c>
      <x:c r="D89" s="82" t="str">
        <x:v>7i84U-B</x:v>
      </x:c>
      <x:c r="E89" s="82" t="str">
        <x:v>TB3</x:v>
      </x:c>
      <x:c r="F89" s="82" t="str">
        <x:v>IN8</x:v>
      </x:c>
      <x:c r="G89" s="82" t="str">
        <x:v>home-z</x:v>
      </x:c>
      <x:c r="H89" s="83" t="str">
        <x:v>Z home switch (LS-62 confirmed TB-51)</x:v>
      </x:c>
      <x:c r="I89" s="83" t="str">
        <x:v>FACTORY_INTERFACE</x:v>
      </x:c>
      <x:c r="J89" s="83" t="str">
        <x:v>field_7i84u.hal</x:v>
      </x:c>
      <x:c r="K89" s="83" t="str">
        <x:v>NO contact; was ACCEPTED_VERIFY - promote to TRACED after physical continuity + fail-open test | [LOCATED 2026-08-09: LS-62 Z zero-return decel, X2A *DECZ wire 1-18 (home reference), Dwg 4143075410 (Motion Switch Input 4) pg136 (also pg100 TB-51)]</x:v>
      </x:c>
    </x:row>
    <x:row r="90">
      <x:c r="A90" s="82" t="str">
        <x:v>AIR_OK</x:v>
      </x:c>
      <x:c r="B90" s="82" t="str">
        <x:v>ATC</x:v>
      </x:c>
      <x:c r="C90" s="82" t="str">
        <x:v>IN</x:v>
      </x:c>
      <x:c r="D90" s="82" t="str">
        <x:v>7i84U-B</x:v>
      </x:c>
      <x:c r="E90" s="82" t="str">
        <x:v>TB3</x:v>
      </x:c>
      <x:c r="F90" s="82" t="str">
        <x:v>IN9</x:v>
      </x:c>
      <x:c r="G90" s="82" t="str">
        <x:v>air-ok</x:v>
      </x:c>
      <x:c r="H90" s="83" t="str">
        <x:v>Machine air-pressure OK switch</x:v>
      </x:c>
      <x:c r="I90" s="83" t="str">
        <x:v>PROPOSED</x:v>
      </x:c>
      <x:c r="J90" s="83" t="str">
        <x:v>field_7i84u.hal</x:v>
      </x:c>
      <x:c r="K90" s="83" t="str">
        <x:v>Raw input and fail-inhibited default; verify switch exists and closes on healthy pressure before live M6</x:v>
      </x:c>
    </x:row>
    <x:row r="91">
      <x:c r="A91" s="82" t="str">
        <x:v>SEVENI84UB_IN10_SPARE</x:v>
      </x:c>
      <x:c r="B91" s="82" t="str">
        <x:v>Spare</x:v>
      </x:c>
      <x:c r="C91" s="82" t="str">
        <x:v>IN</x:v>
      </x:c>
      <x:c r="D91" s="82" t="str">
        <x:v>7i84U-B</x:v>
      </x:c>
      <x:c r="E91" s="82" t="str">
        <x:v>TB3</x:v>
      </x:c>
      <x:c r="F91" s="82" t="str">
        <x:v>IN10</x:v>
      </x:c>
      <x:c r="G91" s="82" t="str">
        <x:v>none</x:v>
      </x:c>
      <x:c r="H91" s="83" t="str">
        <x:v>Spare input on 7i84U-B</x:v>
      </x:c>
      <x:c r="I91" s="83" t="str">
        <x:v>SPARE</x:v>
      </x:c>
      <x:c r="J91" s="83" t="str">
        <x:v>mesa_firmware_checklist.md</x:v>
      </x:c>
      <x:c r="K91" s="83" t="str">
        <x:v>Leave unlanded</x:v>
      </x:c>
    </x:row>
    <x:row r="92">
      <x:c r="A92" s="82" t="str">
        <x:v>SEVENI84UB_IN11_SPARE</x:v>
      </x:c>
      <x:c r="B92" s="82" t="str">
        <x:v>Spare</x:v>
      </x:c>
      <x:c r="C92" s="82" t="str">
        <x:v>IN</x:v>
      </x:c>
      <x:c r="D92" s="82" t="str">
        <x:v>7i84U-B</x:v>
      </x:c>
      <x:c r="E92" s="82" t="str">
        <x:v>TB3</x:v>
      </x:c>
      <x:c r="F92" s="82" t="str">
        <x:v>IN11</x:v>
      </x:c>
      <x:c r="G92" s="82" t="str">
        <x:v>none</x:v>
      </x:c>
      <x:c r="H92" s="83" t="str">
        <x:v>Spare input on 7i84U-B</x:v>
      </x:c>
      <x:c r="I92" s="83" t="str">
        <x:v>SPARE</x:v>
      </x:c>
      <x:c r="J92" s="83" t="str">
        <x:v>mesa_firmware_checklist.md</x:v>
      </x:c>
      <x:c r="K92" s="83" t="str">
        <x:v>Leave unlanded</x:v>
      </x:c>
    </x:row>
    <x:row r="93">
      <x:c r="A93" s="82" t="str">
        <x:v>SEVENI84UB_IN12_SPARE</x:v>
      </x:c>
      <x:c r="B93" s="82" t="str">
        <x:v>Spare</x:v>
      </x:c>
      <x:c r="C93" s="82" t="str">
        <x:v>IN</x:v>
      </x:c>
      <x:c r="D93" s="82" t="str">
        <x:v>7i84U-B</x:v>
      </x:c>
      <x:c r="E93" s="82" t="str">
        <x:v>TB3</x:v>
      </x:c>
      <x:c r="F93" s="82" t="str">
        <x:v>IN12</x:v>
      </x:c>
      <x:c r="G93" s="82" t="str">
        <x:v>none</x:v>
      </x:c>
      <x:c r="H93" s="83" t="str">
        <x:v>Spare input on 7i84U-B</x:v>
      </x:c>
      <x:c r="I93" s="83" t="str">
        <x:v>SPARE</x:v>
      </x:c>
      <x:c r="J93" s="83" t="str">
        <x:v>mesa_firmware_checklist.md</x:v>
      </x:c>
      <x:c r="K93" s="83" t="str">
        <x:v>Leave unlanded</x:v>
      </x:c>
    </x:row>
    <x:row r="94">
      <x:c r="A94" s="82" t="str">
        <x:v>SEVENI84UB_IN13_SPARE</x:v>
      </x:c>
      <x:c r="B94" s="82" t="str">
        <x:v>Spare</x:v>
      </x:c>
      <x:c r="C94" s="82" t="str">
        <x:v>IN</x:v>
      </x:c>
      <x:c r="D94" s="82" t="str">
        <x:v>7i84U-B</x:v>
      </x:c>
      <x:c r="E94" s="82" t="str">
        <x:v>TB3</x:v>
      </x:c>
      <x:c r="F94" s="82" t="str">
        <x:v>IN13</x:v>
      </x:c>
      <x:c r="G94" s="82" t="str">
        <x:v>none</x:v>
      </x:c>
      <x:c r="H94" s="83" t="str">
        <x:v>Spare input on 7i84U-B</x:v>
      </x:c>
      <x:c r="I94" s="83" t="str">
        <x:v>SPARE</x:v>
      </x:c>
      <x:c r="J94" s="83" t="str">
        <x:v>mesa_firmware_checklist.md</x:v>
      </x:c>
      <x:c r="K94" s="83" t="str">
        <x:v>Leave unlanded</x:v>
      </x:c>
    </x:row>
    <x:row r="95">
      <x:c r="A95" s="82" t="str">
        <x:v>SEVENI84UB_IN14_SPARE</x:v>
      </x:c>
      <x:c r="B95" s="82" t="str">
        <x:v>Spare</x:v>
      </x:c>
      <x:c r="C95" s="82" t="str">
        <x:v>IN</x:v>
      </x:c>
      <x:c r="D95" s="82" t="str">
        <x:v>7i84U-B</x:v>
      </x:c>
      <x:c r="E95" s="82" t="str">
        <x:v>TB3</x:v>
      </x:c>
      <x:c r="F95" s="82" t="str">
        <x:v>IN14</x:v>
      </x:c>
      <x:c r="G95" s="82" t="str">
        <x:v>none</x:v>
      </x:c>
      <x:c r="H95" s="83" t="str">
        <x:v>Spare input on 7i84U-B</x:v>
      </x:c>
      <x:c r="I95" s="83" t="str">
        <x:v>SPARE</x:v>
      </x:c>
      <x:c r="J95" s="83" t="str">
        <x:v>mesa_firmware_checklist.md</x:v>
      </x:c>
      <x:c r="K95" s="83" t="str">
        <x:v>Leave unlanded</x:v>
      </x:c>
    </x:row>
    <x:row r="96">
      <x:c r="A96" s="82" t="str">
        <x:v>PROBE_SKIP1</x:v>
      </x:c>
      <x:c r="B96" s="82" t="str">
        <x:v>Motion</x:v>
      </x:c>
      <x:c r="C96" s="82" t="str">
        <x:v>IN</x:v>
      </x:c>
      <x:c r="D96" s="82" t="str">
        <x:v>7i84U-B</x:v>
      </x:c>
      <x:c r="E96" s="82" t="str">
        <x:v>TB3</x:v>
      </x:c>
      <x:c r="F96" s="82" t="str">
        <x:v>IN15</x:v>
      </x:c>
      <x:c r="G96" s="82" t="str">
        <x:v>probe-in</x:v>
      </x:c>
      <x:c r="H96" s="83" t="str">
        <x:v>Renishaw MP-3 probe SKIP1 (PLC X03F SKIP1.M)</x:v>
      </x:c>
      <x:c r="I96" s="83" t="str">
        <x:v>PROPOSED</x:v>
      </x:c>
      <x:c r="J96" s="83" t="str">
        <x:v>field_7i84u.hal</x:v>
      </x:c>
      <x:c r="K96" s="83" t="str">
        <x:v>Moved from bare P3 gpio.042 to opto-isolated 7i84U-B input-15. MP-3 is believed NC so HAL consumes input-15-not; verify physical polarity fail-open response and measured probing latency before use.</x:v>
      </x:c>
    </x:row>
    <x:row r="97">
      <x:c r="A97" s="82" t="str">
        <x:v>SEVENI84UB_IN16_SPARE</x:v>
      </x:c>
      <x:c r="B97" s="82" t="str">
        <x:v>Spare</x:v>
      </x:c>
      <x:c r="C97" s="82" t="str">
        <x:v>IN</x:v>
      </x:c>
      <x:c r="D97" s="82" t="str">
        <x:v>7i84U-B</x:v>
      </x:c>
      <x:c r="E97" s="82" t="str">
        <x:v>TB2</x:v>
      </x:c>
      <x:c r="F97" s="82" t="str">
        <x:v>IN16</x:v>
      </x:c>
      <x:c r="G97" s="82" t="str">
        <x:v>none</x:v>
      </x:c>
      <x:c r="H97" s="83" t="str">
        <x:v>Spare input on 7i84U-B</x:v>
      </x:c>
      <x:c r="I97" s="83" t="str">
        <x:v>SPARE</x:v>
      </x:c>
      <x:c r="J97" s="83" t="str">
        <x:v>mesa_firmware_checklist.md</x:v>
      </x:c>
      <x:c r="K97" s="83" t="str">
        <x:v>Leave unlanded</x:v>
      </x:c>
    </x:row>
    <x:row r="98">
      <x:c r="A98" s="82" t="str">
        <x:v>SEVENI84UB_IN17_SPARE</x:v>
      </x:c>
      <x:c r="B98" s="82" t="str">
        <x:v>Spare</x:v>
      </x:c>
      <x:c r="C98" s="82" t="str">
        <x:v>IN</x:v>
      </x:c>
      <x:c r="D98" s="82" t="str">
        <x:v>7i84U-B</x:v>
      </x:c>
      <x:c r="E98" s="82" t="str">
        <x:v>TB2</x:v>
      </x:c>
      <x:c r="F98" s="82" t="str">
        <x:v>IN17</x:v>
      </x:c>
      <x:c r="G98" s="82" t="str">
        <x:v>none</x:v>
      </x:c>
      <x:c r="H98" s="83" t="str">
        <x:v>Spare input on 7i84U-B</x:v>
      </x:c>
      <x:c r="I98" s="83" t="str">
        <x:v>SPARE</x:v>
      </x:c>
      <x:c r="J98" s="83" t="str">
        <x:v>mesa_firmware_checklist.md</x:v>
      </x:c>
      <x:c r="K98" s="83" t="str">
        <x:v>Leave unlanded</x:v>
      </x:c>
    </x:row>
    <x:row r="99">
      <x:c r="A99" s="82" t="str">
        <x:v>SEVENI84UB_IN18_SPARE</x:v>
      </x:c>
      <x:c r="B99" s="82" t="str">
        <x:v>Spare</x:v>
      </x:c>
      <x:c r="C99" s="82" t="str">
        <x:v>IN</x:v>
      </x:c>
      <x:c r="D99" s="82" t="str">
        <x:v>7i84U-B</x:v>
      </x:c>
      <x:c r="E99" s="82" t="str">
        <x:v>TB2</x:v>
      </x:c>
      <x:c r="F99" s="82" t="str">
        <x:v>IN18</x:v>
      </x:c>
      <x:c r="G99" s="82" t="str">
        <x:v>none</x:v>
      </x:c>
      <x:c r="H99" s="83" t="str">
        <x:v>Spare input on 7i84U-B</x:v>
      </x:c>
      <x:c r="I99" s="83" t="str">
        <x:v>SPARE</x:v>
      </x:c>
      <x:c r="J99" s="83" t="str">
        <x:v>mesa_firmware_checklist.md</x:v>
      </x:c>
      <x:c r="K99" s="83" t="str">
        <x:v>Leave unlanded</x:v>
      </x:c>
    </x:row>
    <x:row r="100">
      <x:c r="A100" s="82" t="str">
        <x:v>SEVENI84UB_IN19_SPARE</x:v>
      </x:c>
      <x:c r="B100" s="82" t="str">
        <x:v>Spare</x:v>
      </x:c>
      <x:c r="C100" s="82" t="str">
        <x:v>IN</x:v>
      </x:c>
      <x:c r="D100" s="82" t="str">
        <x:v>7i84U-B</x:v>
      </x:c>
      <x:c r="E100" s="82" t="str">
        <x:v>TB2</x:v>
      </x:c>
      <x:c r="F100" s="82" t="str">
        <x:v>IN19</x:v>
      </x:c>
      <x:c r="G100" s="82" t="str">
        <x:v>none</x:v>
      </x:c>
      <x:c r="H100" s="83" t="str">
        <x:v>Spare input on 7i84U-B</x:v>
      </x:c>
      <x:c r="I100" s="83" t="str">
        <x:v>SPARE</x:v>
      </x:c>
      <x:c r="J100" s="83" t="str">
        <x:v>mesa_firmware_checklist.md</x:v>
      </x:c>
      <x:c r="K100" s="83" t="str">
        <x:v>Leave unlanded</x:v>
      </x:c>
    </x:row>
    <x:row r="101">
      <x:c r="A101" s="82" t="str">
        <x:v>SEVENI84UB_IN20_SPARE</x:v>
      </x:c>
      <x:c r="B101" s="82" t="str">
        <x:v>Spare</x:v>
      </x:c>
      <x:c r="C101" s="82" t="str">
        <x:v>IN</x:v>
      </x:c>
      <x:c r="D101" s="82" t="str">
        <x:v>7i84U-B</x:v>
      </x:c>
      <x:c r="E101" s="82" t="str">
        <x:v>TB2</x:v>
      </x:c>
      <x:c r="F101" s="82" t="str">
        <x:v>IN20</x:v>
      </x:c>
      <x:c r="G101" s="82" t="str">
        <x:v>none</x:v>
      </x:c>
      <x:c r="H101" s="83" t="str">
        <x:v>Spare input on 7i84U-B</x:v>
      </x:c>
      <x:c r="I101" s="83" t="str">
        <x:v>SPARE</x:v>
      </x:c>
      <x:c r="J101" s="83" t="str">
        <x:v>mesa_firmware_checklist.md</x:v>
      </x:c>
      <x:c r="K101" s="83" t="str">
        <x:v>Leave unlanded</x:v>
      </x:c>
    </x:row>
    <x:row r="102">
      <x:c r="A102" s="82" t="str">
        <x:v>SEVENI84UB_IN21_SPARE</x:v>
      </x:c>
      <x:c r="B102" s="82" t="str">
        <x:v>Spare</x:v>
      </x:c>
      <x:c r="C102" s="82" t="str">
        <x:v>IN</x:v>
      </x:c>
      <x:c r="D102" s="82" t="str">
        <x:v>7i84U-B</x:v>
      </x:c>
      <x:c r="E102" s="82" t="str">
        <x:v>TB2</x:v>
      </x:c>
      <x:c r="F102" s="82" t="str">
        <x:v>IN21</x:v>
      </x:c>
      <x:c r="G102" s="82" t="str">
        <x:v>none</x:v>
      </x:c>
      <x:c r="H102" s="83" t="str">
        <x:v>Spare input on 7i84U-B</x:v>
      </x:c>
      <x:c r="I102" s="83" t="str">
        <x:v>SPARE</x:v>
      </x:c>
      <x:c r="J102" s="83" t="str">
        <x:v>mesa_firmware_checklist.md</x:v>
      </x:c>
      <x:c r="K102" s="83" t="str">
        <x:v>Leave unlanded</x:v>
      </x:c>
    </x:row>
    <x:row r="103">
      <x:c r="A103" s="82" t="str">
        <x:v>SEVENI84UB_IN22_SPARE</x:v>
      </x:c>
      <x:c r="B103" s="82" t="str">
        <x:v>Spare</x:v>
      </x:c>
      <x:c r="C103" s="82" t="str">
        <x:v>IN</x:v>
      </x:c>
      <x:c r="D103" s="82" t="str">
        <x:v>7i84U-B</x:v>
      </x:c>
      <x:c r="E103" s="82" t="str">
        <x:v>TB2</x:v>
      </x:c>
      <x:c r="F103" s="82" t="str">
        <x:v>IN22</x:v>
      </x:c>
      <x:c r="G103" s="82" t="str">
        <x:v>none</x:v>
      </x:c>
      <x:c r="H103" s="83" t="str">
        <x:v>Spare input on 7i84U-B</x:v>
      </x:c>
      <x:c r="I103" s="83" t="str">
        <x:v>SPARE</x:v>
      </x:c>
      <x:c r="J103" s="83" t="str">
        <x:v>mesa_firmware_checklist.md</x:v>
      </x:c>
      <x:c r="K103" s="83" t="str">
        <x:v>Leave unlanded</x:v>
      </x:c>
    </x:row>
    <x:row r="104">
      <x:c r="A104" s="82" t="str">
        <x:v>SEVENI84UB_IN23_SPARE</x:v>
      </x:c>
      <x:c r="B104" s="82" t="str">
        <x:v>Spare</x:v>
      </x:c>
      <x:c r="C104" s="82" t="str">
        <x:v>IN</x:v>
      </x:c>
      <x:c r="D104" s="82" t="str">
        <x:v>7i84U-B</x:v>
      </x:c>
      <x:c r="E104" s="82" t="str">
        <x:v>TB2</x:v>
      </x:c>
      <x:c r="F104" s="82" t="str">
        <x:v>IN23</x:v>
      </x:c>
      <x:c r="G104" s="82" t="str">
        <x:v>none</x:v>
      </x:c>
      <x:c r="H104" s="83" t="str">
        <x:v>Spare input on 7i84U-B</x:v>
      </x:c>
      <x:c r="I104" s="83" t="str">
        <x:v>SPARE</x:v>
      </x:c>
      <x:c r="J104" s="83" t="str">
        <x:v>mesa_firmware_checklist.md</x:v>
      </x:c>
      <x:c r="K104" s="83" t="str">
        <x:v>Leave unlanded</x:v>
      </x:c>
    </x:row>
    <x:row r="105">
      <x:c r="A105" s="82" t="str">
        <x:v>SEVENI84UB_IN24_SPARE</x:v>
      </x:c>
      <x:c r="B105" s="82" t="str">
        <x:v>Spare</x:v>
      </x:c>
      <x:c r="C105" s="82" t="str">
        <x:v>IN</x:v>
      </x:c>
      <x:c r="D105" s="82" t="str">
        <x:v>7i84U-B</x:v>
      </x:c>
      <x:c r="E105" s="82" t="str">
        <x:v>TB2</x:v>
      </x:c>
      <x:c r="F105" s="82" t="str">
        <x:v>IN24</x:v>
      </x:c>
      <x:c r="G105" s="82" t="str">
        <x:v>none</x:v>
      </x:c>
      <x:c r="H105" s="83" t="str">
        <x:v>Spare input on 7i84U-B</x:v>
      </x:c>
      <x:c r="I105" s="83" t="str">
        <x:v>SPARE</x:v>
      </x:c>
      <x:c r="J105" s="83" t="str">
        <x:v>mesa_firmware_checklist.md</x:v>
      </x:c>
      <x:c r="K105" s="83" t="str">
        <x:v>Leave unlanded</x:v>
      </x:c>
    </x:row>
    <x:row r="106">
      <x:c r="A106" s="82" t="str">
        <x:v>SEVENI84UB_IN25_SPARE</x:v>
      </x:c>
      <x:c r="B106" s="82" t="str">
        <x:v>Spare</x:v>
      </x:c>
      <x:c r="C106" s="82" t="str">
        <x:v>IN</x:v>
      </x:c>
      <x:c r="D106" s="82" t="str">
        <x:v>7i84U-B</x:v>
      </x:c>
      <x:c r="E106" s="82" t="str">
        <x:v>TB2</x:v>
      </x:c>
      <x:c r="F106" s="82" t="str">
        <x:v>IN25</x:v>
      </x:c>
      <x:c r="G106" s="82" t="str">
        <x:v>none</x:v>
      </x:c>
      <x:c r="H106" s="83" t="str">
        <x:v>Spare input on 7i84U-B</x:v>
      </x:c>
      <x:c r="I106" s="83" t="str">
        <x:v>SPARE</x:v>
      </x:c>
      <x:c r="J106" s="83" t="str">
        <x:v>mesa_firmware_checklist.md</x:v>
      </x:c>
      <x:c r="K106" s="83" t="str">
        <x:v>Leave unlanded</x:v>
      </x:c>
    </x:row>
    <x:row r="107">
      <x:c r="A107" s="82" t="str">
        <x:v>SEVENI84UB_IN26_SPARE</x:v>
      </x:c>
      <x:c r="B107" s="82" t="str">
        <x:v>Spare</x:v>
      </x:c>
      <x:c r="C107" s="82" t="str">
        <x:v>IN</x:v>
      </x:c>
      <x:c r="D107" s="82" t="str">
        <x:v>7i84U-B</x:v>
      </x:c>
      <x:c r="E107" s="82" t="str">
        <x:v>TB2</x:v>
      </x:c>
      <x:c r="F107" s="82" t="str">
        <x:v>IN26</x:v>
      </x:c>
      <x:c r="G107" s="82" t="str">
        <x:v>none</x:v>
      </x:c>
      <x:c r="H107" s="83" t="str">
        <x:v>Spare input on 7i84U-B</x:v>
      </x:c>
      <x:c r="I107" s="83" t="str">
        <x:v>SPARE</x:v>
      </x:c>
      <x:c r="J107" s="83" t="str">
        <x:v>mesa_firmware_checklist.md</x:v>
      </x:c>
      <x:c r="K107" s="83" t="str">
        <x:v>Leave unlanded</x:v>
      </x:c>
    </x:row>
    <x:row r="108">
      <x:c r="A108" s="82" t="str">
        <x:v>SEVENI84UB_IN27_SPARE</x:v>
      </x:c>
      <x:c r="B108" s="82" t="str">
        <x:v>Spare</x:v>
      </x:c>
      <x:c r="C108" s="82" t="str">
        <x:v>IN</x:v>
      </x:c>
      <x:c r="D108" s="82" t="str">
        <x:v>7i84U-B</x:v>
      </x:c>
      <x:c r="E108" s="82" t="str">
        <x:v>TB2</x:v>
      </x:c>
      <x:c r="F108" s="82" t="str">
        <x:v>IN27</x:v>
      </x:c>
      <x:c r="G108" s="82" t="str">
        <x:v>none</x:v>
      </x:c>
      <x:c r="H108" s="83" t="str">
        <x:v>Spare input on 7i84U-B</x:v>
      </x:c>
      <x:c r="I108" s="83" t="str">
        <x:v>SPARE</x:v>
      </x:c>
      <x:c r="J108" s="83" t="str">
        <x:v>mesa_firmware_checklist.md</x:v>
      </x:c>
      <x:c r="K108" s="83" t="str">
        <x:v>Leave unlanded</x:v>
      </x:c>
    </x:row>
    <x:row r="109">
      <x:c r="A109" s="82" t="str">
        <x:v>SEVENI84UB_IN28_SPARE</x:v>
      </x:c>
      <x:c r="B109" s="82" t="str">
        <x:v>Spare</x:v>
      </x:c>
      <x:c r="C109" s="82" t="str">
        <x:v>IN</x:v>
      </x:c>
      <x:c r="D109" s="82" t="str">
        <x:v>7i84U-B</x:v>
      </x:c>
      <x:c r="E109" s="82" t="str">
        <x:v>TB2</x:v>
      </x:c>
      <x:c r="F109" s="82" t="str">
        <x:v>IN28</x:v>
      </x:c>
      <x:c r="G109" s="82" t="str">
        <x:v>none</x:v>
      </x:c>
      <x:c r="H109" s="83" t="str">
        <x:v>Spare input on 7i84U-B</x:v>
      </x:c>
      <x:c r="I109" s="83" t="str">
        <x:v>SPARE</x:v>
      </x:c>
      <x:c r="J109" s="83" t="str">
        <x:v>mesa_firmware_checklist.md</x:v>
      </x:c>
      <x:c r="K109" s="83" t="str">
        <x:v>Leave unlanded</x:v>
      </x:c>
    </x:row>
    <x:row r="110">
      <x:c r="A110" s="82" t="str">
        <x:v>SEVENI84UB_IN29_SPARE</x:v>
      </x:c>
      <x:c r="B110" s="82" t="str">
        <x:v>Spare</x:v>
      </x:c>
      <x:c r="C110" s="82" t="str">
        <x:v>IN</x:v>
      </x:c>
      <x:c r="D110" s="82" t="str">
        <x:v>7i84U-B</x:v>
      </x:c>
      <x:c r="E110" s="82" t="str">
        <x:v>TB2</x:v>
      </x:c>
      <x:c r="F110" s="82" t="str">
        <x:v>IN29</x:v>
      </x:c>
      <x:c r="G110" s="82" t="str">
        <x:v>none</x:v>
      </x:c>
      <x:c r="H110" s="83" t="str">
        <x:v>Spare input on 7i84U-B</x:v>
      </x:c>
      <x:c r="I110" s="83" t="str">
        <x:v>SPARE</x:v>
      </x:c>
      <x:c r="J110" s="83" t="str">
        <x:v>mesa_firmware_checklist.md</x:v>
      </x:c>
      <x:c r="K110" s="83" t="str">
        <x:v>Leave unlanded</x:v>
      </x:c>
    </x:row>
    <x:row r="111">
      <x:c r="A111" s="82" t="str">
        <x:v>SEVENI84UB_IN30_SPARE</x:v>
      </x:c>
      <x:c r="B111" s="82" t="str">
        <x:v>Spare</x:v>
      </x:c>
      <x:c r="C111" s="82" t="str">
        <x:v>IN</x:v>
      </x:c>
      <x:c r="D111" s="82" t="str">
        <x:v>7i84U-B</x:v>
      </x:c>
      <x:c r="E111" s="82" t="str">
        <x:v>TB2</x:v>
      </x:c>
      <x:c r="F111" s="82" t="str">
        <x:v>IN30</x:v>
      </x:c>
      <x:c r="G111" s="82" t="str">
        <x:v>none</x:v>
      </x:c>
      <x:c r="H111" s="83" t="str">
        <x:v>Spare input on 7i84U-B</x:v>
      </x:c>
      <x:c r="I111" s="83" t="str">
        <x:v>SPARE</x:v>
      </x:c>
      <x:c r="J111" s="83" t="str">
        <x:v>mesa_firmware_checklist.md</x:v>
      </x:c>
      <x:c r="K111" s="83" t="str">
        <x:v>Leave unlanded</x:v>
      </x:c>
    </x:row>
    <x:row r="112">
      <x:c r="A112" s="82" t="str">
        <x:v>SEVENI84UB_IN31_SPARE</x:v>
      </x:c>
      <x:c r="B112" s="82" t="str">
        <x:v>Spare</x:v>
      </x:c>
      <x:c r="C112" s="82" t="str">
        <x:v>IN</x:v>
      </x:c>
      <x:c r="D112" s="82" t="str">
        <x:v>7i84U-B</x:v>
      </x:c>
      <x:c r="E112" s="82" t="str">
        <x:v>TB2</x:v>
      </x:c>
      <x:c r="F112" s="82" t="str">
        <x:v>IN31</x:v>
      </x:c>
      <x:c r="G112" s="82" t="str">
        <x:v>none</x:v>
      </x:c>
      <x:c r="H112" s="83" t="str">
        <x:v>Spare input on 7i84U-B</x:v>
      </x:c>
      <x:c r="I112" s="83" t="str">
        <x:v>SPARE</x:v>
      </x:c>
      <x:c r="J112" s="83" t="str">
        <x:v>mesa_firmware_checklist.md</x:v>
      </x:c>
      <x:c r="K112" s="83" t="str">
        <x:v>Leave unlanded</x:v>
      </x:c>
    </x:row>
    <x:row r="113">
      <x:c r="A113" s="82" t="str">
        <x:v>X_DRIVE_ENABLE</x:v>
      </x:c>
      <x:c r="B113" s="82" t="str">
        <x:v>Motion</x:v>
      </x:c>
      <x:c r="C113" s="82" t="str">
        <x:v>OUT</x:v>
      </x:c>
      <x:c r="D113" s="82" t="str">
        <x:v>7i84U-B</x:v>
      </x:c>
      <x:c r="E113" s="82" t="str">
        <x:v>TB3</x:v>
      </x:c>
      <x:c r="F113" s="82" t="str">
        <x:v>OUT0</x:v>
      </x:c>
      <x:c r="G113" s="82" t="str">
        <x:v>x-enable</x:v>
      </x:c>
      <x:c r="H113" s="83" t="str">
        <x:v>X servo S-ON to MELDAS DK-427 (X-drive ENA input)</x:v>
      </x:c>
      <x:c r="I113" s="83" t="str">
        <x:v>FACTORY_INTERFACE</x:v>
      </x:c>
      <x:c r="J113" s="83" t="str">
        <x:v>field_7i84u.hal</x:v>
      </x:c>
      <x:c r="K113" s="83" t="str">
        <x:v>Interposing relay for drive enable input; measure command-to-contact and fault-to-drop timing with the actual smart-serial configuration</x:v>
      </x:c>
    </x:row>
    <x:row r="114">
      <x:c r="A114" s="82" t="str">
        <x:v>Y_DRIVE_ENABLE</x:v>
      </x:c>
      <x:c r="B114" s="82" t="str">
        <x:v>Motion</x:v>
      </x:c>
      <x:c r="C114" s="82" t="str">
        <x:v>OUT</x:v>
      </x:c>
      <x:c r="D114" s="82" t="str">
        <x:v>7i84U-B</x:v>
      </x:c>
      <x:c r="E114" s="82" t="str">
        <x:v>TB3</x:v>
      </x:c>
      <x:c r="F114" s="82" t="str">
        <x:v>OUT1</x:v>
      </x:c>
      <x:c r="G114" s="82" t="str">
        <x:v>y-enable</x:v>
      </x:c>
      <x:c r="H114" s="83" t="str">
        <x:v>Y servo S-ON to MELDAS DK-427 (Y-drive ENA input)</x:v>
      </x:c>
      <x:c r="I114" s="83" t="str">
        <x:v>FACTORY_INTERFACE</x:v>
      </x:c>
      <x:c r="J114" s="83" t="str">
        <x:v>field_7i84u.hal</x:v>
      </x:c>
      <x:c r="K114" s="83" t="str">
        <x:v>Interposing relay for drive enable input.</x:v>
      </x:c>
    </x:row>
    <x:row r="115">
      <x:c r="A115" s="82" t="str">
        <x:v>Z_DRIVE_ENABLE</x:v>
      </x:c>
      <x:c r="B115" s="82" t="str">
        <x:v>Motion</x:v>
      </x:c>
      <x:c r="C115" s="82" t="str">
        <x:v>OUT</x:v>
      </x:c>
      <x:c r="D115" s="82" t="str">
        <x:v>7i84U-B</x:v>
      </x:c>
      <x:c r="E115" s="82" t="str">
        <x:v>TB3</x:v>
      </x:c>
      <x:c r="F115" s="82" t="str">
        <x:v>OUT2</x:v>
      </x:c>
      <x:c r="G115" s="82" t="str">
        <x:v>z-enable</x:v>
      </x:c>
      <x:c r="H115" s="83" t="str">
        <x:v>Z servo S-ON to MELDAS DK-427 (Z-drive ENA input)</x:v>
      </x:c>
      <x:c r="I115" s="83" t="str">
        <x:v>FACTORY_INTERFACE</x:v>
      </x:c>
      <x:c r="J115" s="83" t="str">
        <x:v>field_7i84u.hal</x:v>
      </x:c>
      <x:c r="K115" s="83" t="str">
        <x:v>Interposing relay for drive enable input.</x:v>
      </x:c>
    </x:row>
    <x:row r="116">
      <x:c r="A116" s="82" t="str">
        <x:v>AIR_BLAST</x:v>
      </x:c>
      <x:c r="B116" s="82" t="str">
        <x:v>Air</x:v>
      </x:c>
      <x:c r="C116" s="82" t="str">
        <x:v>OUT</x:v>
      </x:c>
      <x:c r="D116" s="82" t="str">
        <x:v>7i84U-B</x:v>
      </x:c>
      <x:c r="E116" s="82" t="str">
        <x:v>TB3</x:v>
      </x:c>
      <x:c r="F116" s="82" t="str">
        <x:v>OUT3</x:v>
      </x:c>
      <x:c r="G116" s="82" t="str">
        <x:v>air-blast</x:v>
      </x:c>
      <x:c r="H116" s="83" t="str">
        <x:v>SOL-62 via RLY-5 (interposing relay for 100VAC coil)</x:v>
      </x:c>
      <x:c r="I116" s="83" t="str">
        <x:v>FACTORY_INTERFACE</x:v>
      </x:c>
      <x:c r="J116" s="83" t="str">
        <x:v>field_7i84u.hal</x:v>
      </x:c>
      <x:c r="K116" s="83" t="str">
        <x:v>Verify SOL-62 identification against parts list pp.85-91</x:v>
      </x:c>
    </x:row>
    <x:row r="117">
      <x:c r="A117" s="82" t="str">
        <x:v>TOUCH_SENSOR_BLAST</x:v>
      </x:c>
      <x:c r="B117" s="82" t="str">
        <x:v>Air</x:v>
      </x:c>
      <x:c r="C117" s="82" t="str">
        <x:v>OUT</x:v>
      </x:c>
      <x:c r="D117" s="82" t="str">
        <x:v>7i84U-B</x:v>
      </x:c>
      <x:c r="E117" s="82" t="str">
        <x:v>TB3</x:v>
      </x:c>
      <x:c r="F117" s="82" t="str">
        <x:v>OUT4</x:v>
      </x:c>
      <x:c r="G117" s="82" t="str">
        <x:v>touch-sensor-blast</x:v>
      </x:c>
      <x:c r="H117" s="83" t="str">
        <x:v>SOL-35 via RLY-6 (interposing relay for 100VAC coil)</x:v>
      </x:c>
      <x:c r="I117" s="83" t="str">
        <x:v>FACTORY_INTERFACE</x:v>
      </x:c>
      <x:c r="J117" s="83" t="str">
        <x:v>field_7i84u.hal</x:v>
      </x:c>
      <x:c r="K117" s="83" t="str">
        <x:v>MMS touch-sensor air jet</x:v>
      </x:c>
    </x:row>
    <x:row r="118">
      <x:c r="A118" s="82" t="str">
        <x:v>TAP_COOLANT_BLAST</x:v>
      </x:c>
      <x:c r="B118" s="82" t="str">
        <x:v>Coolant</x:v>
      </x:c>
      <x:c r="C118" s="82" t="str">
        <x:v>OUT</x:v>
      </x:c>
      <x:c r="D118" s="82" t="str">
        <x:v>7i84U-B</x:v>
      </x:c>
      <x:c r="E118" s="82" t="str">
        <x:v>TB3</x:v>
      </x:c>
      <x:c r="F118" s="82" t="str">
        <x:v>OUT5</x:v>
      </x:c>
      <x:c r="G118" s="82" t="str">
        <x:v>tap-coolant-blast</x:v>
      </x:c>
      <x:c r="H118" s="83" t="str">
        <x:v>SOL-61 via RLY-7 (interposing relay for 100VAC coil)</x:v>
      </x:c>
      <x:c r="I118" s="83" t="str">
        <x:v>FACTORY_INTERFACE</x:v>
      </x:c>
      <x:c r="J118" s="83" t="str">
        <x:v>field_7i84u.hal</x:v>
      </x:c>
      <x:c r="K118" s="83" t="str"/>
    </x:row>
    <x:row r="119">
      <x:c r="A119" s="82" t="str">
        <x:v>ATC_BARRIER_SOL</x:v>
      </x:c>
      <x:c r="B119" s="82" t="str">
        <x:v>ATC interlock</x:v>
      </x:c>
      <x:c r="C119" s="82" t="str">
        <x:v>OUT</x:v>
      </x:c>
      <x:c r="D119" s="82" t="str">
        <x:v>7i84U-B</x:v>
      </x:c>
      <x:c r="E119" s="82" t="str">
        <x:v>TB3</x:v>
      </x:c>
      <x:c r="F119" s="82" t="str">
        <x:v>OUT6</x:v>
      </x:c>
      <x:c r="G119" s="82" t="str">
        <x:v>atc-barrier</x:v>
      </x:c>
      <x:c r="H119" s="83" t="str">
        <x:v>ATC barrier expand solenoid (PLC Y095 TCME.M)</x:v>
      </x:c>
      <x:c r="I119" s="83" t="str">
        <x:v>FACTORY_INTERFACE</x:v>
      </x:c>
      <x:c r="J119" s="83" t="str">
        <x:v>element_list_crosswalk_2026-07-27</x:v>
      </x:c>
      <x:c r="K119" s="83" t="str">
        <x:v>Verify device exists on SN 060231 | [RECON 2026-08-08 §A: element list confirms Y095 TCME.M 'BARRIER EXPAND at ATC AREA' on 060231]</x:v>
      </x:c>
    </x:row>
    <x:row r="120">
      <x:c r="A120" s="82" t="str">
        <x:v>FLOOD_VALVE</x:v>
      </x:c>
      <x:c r="B120" s="82" t="str">
        <x:v>Coolant</x:v>
      </x:c>
      <x:c r="C120" s="82" t="str">
        <x:v>OUT</x:v>
      </x:c>
      <x:c r="D120" s="82" t="str">
        <x:v>7i84U-B</x:v>
      </x:c>
      <x:c r="E120" s="82" t="str">
        <x:v>TB3</x:v>
      </x:c>
      <x:c r="F120" s="82" t="str">
        <x:v>OUT7</x:v>
      </x:c>
      <x:c r="G120" s="82" t="str">
        <x:v>flood-valve</x:v>
      </x:c>
      <x:c r="H120" s="83" t="str">
        <x:v>Flood coolant valve, separate from pump motor (PLC Y011 FCL)</x:v>
      </x:c>
      <x:c r="I120" s="83" t="str">
        <x:v>FACTORY_INTERFACE</x:v>
      </x:c>
      <x:c r="J120" s="83" t="str">
        <x:v>element_list_crosswalk_2026-07-27</x:v>
      </x:c>
      <x:c r="K120" s="83" t="str">
        <x:v>SOL-31 confirmed via TB-51 diagram. Separate from OUT11 pump on 7i84U-A. | [RECON 2026-08-08 §C: Y011 FCL valve genuinely distinct from Y010 FCM motor; Y012 THC through-hole separate] | [RECON 2026-08-08 follow-up: status PROPOSED -&gt; COMMISSIONING_PENDING per §C element-list confirm]</x:v>
      </x:c>
    </x:row>
    <x:row r="121">
      <x:c r="A121" s="82" t="str">
        <x:v>MAG_COVER_CLOSE_SOL</x:v>
      </x:c>
      <x:c r="B121" s="82" t="str">
        <x:v>Magazine</x:v>
      </x:c>
      <x:c r="C121" s="82" t="str">
        <x:v>OUT</x:v>
      </x:c>
      <x:c r="D121" s="82" t="str">
        <x:v>7i84U-B</x:v>
      </x:c>
      <x:c r="E121" s="82" t="str">
        <x:v>TB2</x:v>
      </x:c>
      <x:c r="F121" s="82" t="str">
        <x:v>OUT8</x:v>
      </x:c>
      <x:c r="G121" s="82" t="str">
        <x:v>mag-cover-close</x:v>
      </x:c>
      <x:c r="H121" s="83" t="str">
        <x:v>Single energise-to-close magazine cover valve via interposing relay</x:v>
      </x:c>
      <x:c r="I121" s="83" t="str">
        <x:v>PROPOSED</x:v>
      </x:c>
      <x:c r="J121" s="83" t="str">
        <x:v>atc_orient.hal</x:v>
      </x:c>
      <x:c r="K121" s="83" t="str">
        <x:v>Logical channel allocated only; trace valve identity coil voltage relay topology and safe direction before landing field wire</x:v>
      </x:c>
    </x:row>
    <x:row r="122">
      <x:c r="A122" s="82" t="str">
        <x:v>SEVENI84UB_OUT9_SPARE</x:v>
      </x:c>
      <x:c r="B122" s="82" t="str">
        <x:v>Spare</x:v>
      </x:c>
      <x:c r="C122" s="82" t="str">
        <x:v>OUT</x:v>
      </x:c>
      <x:c r="D122" s="82" t="str">
        <x:v>7i84U-B</x:v>
      </x:c>
      <x:c r="E122" s="82" t="str">
        <x:v>TB2</x:v>
      </x:c>
      <x:c r="F122" s="82" t="str">
        <x:v>OUT9</x:v>
      </x:c>
      <x:c r="G122" s="82" t="str">
        <x:v>none</x:v>
      </x:c>
      <x:c r="H122" s="83" t="str">
        <x:v>Spare output on 7i84U-B</x:v>
      </x:c>
      <x:c r="I122" s="83" t="str">
        <x:v>SPARE</x:v>
      </x:c>
      <x:c r="J122" s="83" t="str">
        <x:v>mesa_firmware_checklist.md</x:v>
      </x:c>
      <x:c r="K122" s="83" t="str">
        <x:v>Leave unlanded</x:v>
      </x:c>
    </x:row>
    <x:row r="123">
      <x:c r="A123" s="82" t="str">
        <x:v>SEVENI84UB_OUT10_SPARE</x:v>
      </x:c>
      <x:c r="B123" s="82" t="str">
        <x:v>Spare</x:v>
      </x:c>
      <x:c r="C123" s="82" t="str">
        <x:v>OUT</x:v>
      </x:c>
      <x:c r="D123" s="82" t="str">
        <x:v>7i84U-B</x:v>
      </x:c>
      <x:c r="E123" s="82" t="str">
        <x:v>TB2</x:v>
      </x:c>
      <x:c r="F123" s="82" t="str">
        <x:v>OUT10</x:v>
      </x:c>
      <x:c r="G123" s="82" t="str">
        <x:v>none</x:v>
      </x:c>
      <x:c r="H123" s="83" t="str">
        <x:v>Spare output on 7i84U-B</x:v>
      </x:c>
      <x:c r="I123" s="83" t="str">
        <x:v>SPARE</x:v>
      </x:c>
      <x:c r="J123" s="83" t="str">
        <x:v>mesa_firmware_checklist.md</x:v>
      </x:c>
      <x:c r="K123" s="83" t="str">
        <x:v>Leave unlanded</x:v>
      </x:c>
    </x:row>
    <x:row r="124">
      <x:c r="A124" s="82" t="str">
        <x:v>SEVENI84UB_OUT11_SPARE</x:v>
      </x:c>
      <x:c r="B124" s="82" t="str">
        <x:v>Spare</x:v>
      </x:c>
      <x:c r="C124" s="82" t="str">
        <x:v>OUT</x:v>
      </x:c>
      <x:c r="D124" s="82" t="str">
        <x:v>7i84U-B</x:v>
      </x:c>
      <x:c r="E124" s="82" t="str">
        <x:v>TB2</x:v>
      </x:c>
      <x:c r="F124" s="82" t="str">
        <x:v>OUT11</x:v>
      </x:c>
      <x:c r="G124" s="82" t="str">
        <x:v>none</x:v>
      </x:c>
      <x:c r="H124" s="83" t="str">
        <x:v>Spare output on 7i84U-B</x:v>
      </x:c>
      <x:c r="I124" s="83" t="str">
        <x:v>SPARE</x:v>
      </x:c>
      <x:c r="J124" s="83" t="str">
        <x:v>mesa_firmware_checklist.md</x:v>
      </x:c>
      <x:c r="K124" s="83" t="str">
        <x:v>Leave unlanded</x:v>
      </x:c>
    </x:row>
    <x:row r="125">
      <x:c r="A125" s="82" t="str">
        <x:v>SEVENI84UB_OUT12_SPARE</x:v>
      </x:c>
      <x:c r="B125" s="82" t="str">
        <x:v>Spare</x:v>
      </x:c>
      <x:c r="C125" s="82" t="str">
        <x:v>OUT</x:v>
      </x:c>
      <x:c r="D125" s="82" t="str">
        <x:v>7i84U-B</x:v>
      </x:c>
      <x:c r="E125" s="82" t="str">
        <x:v>TB2</x:v>
      </x:c>
      <x:c r="F125" s="82" t="str">
        <x:v>OUT12</x:v>
      </x:c>
      <x:c r="G125" s="82" t="str">
        <x:v>none</x:v>
      </x:c>
      <x:c r="H125" s="83" t="str">
        <x:v>Spare output on 7i84U-B</x:v>
      </x:c>
      <x:c r="I125" s="83" t="str">
        <x:v>SPARE</x:v>
      </x:c>
      <x:c r="J125" s="83" t="str">
        <x:v>mesa_firmware_checklist.md</x:v>
      </x:c>
      <x:c r="K125" s="83" t="str">
        <x:v>Leave unlanded</x:v>
      </x:c>
    </x:row>
    <x:row r="126">
      <x:c r="A126" s="82" t="str">
        <x:v>SEVENI84UB_OUT13_SPARE</x:v>
      </x:c>
      <x:c r="B126" s="82" t="str">
        <x:v>Spare</x:v>
      </x:c>
      <x:c r="C126" s="82" t="str">
        <x:v>OUT</x:v>
      </x:c>
      <x:c r="D126" s="82" t="str">
        <x:v>7i84U-B</x:v>
      </x:c>
      <x:c r="E126" s="82" t="str">
        <x:v>TB2</x:v>
      </x:c>
      <x:c r="F126" s="82" t="str">
        <x:v>OUT13</x:v>
      </x:c>
      <x:c r="G126" s="82" t="str">
        <x:v>none</x:v>
      </x:c>
      <x:c r="H126" s="83" t="str">
        <x:v>Spare output on 7i84U-B</x:v>
      </x:c>
      <x:c r="I126" s="83" t="str">
        <x:v>SPARE</x:v>
      </x:c>
      <x:c r="J126" s="83" t="str">
        <x:v>mesa_firmware_checklist.md</x:v>
      </x:c>
      <x:c r="K126" s="83" t="str">
        <x:v>Leave unlanded</x:v>
      </x:c>
    </x:row>
    <x:row r="127">
      <x:c r="A127" s="82" t="str">
        <x:v>SEVENI84UB_OUT14_SPARE</x:v>
      </x:c>
      <x:c r="B127" s="82" t="str">
        <x:v>Spare</x:v>
      </x:c>
      <x:c r="C127" s="82" t="str">
        <x:v>OUT</x:v>
      </x:c>
      <x:c r="D127" s="82" t="str">
        <x:v>7i84U-B</x:v>
      </x:c>
      <x:c r="E127" s="82" t="str">
        <x:v>TB2</x:v>
      </x:c>
      <x:c r="F127" s="82" t="str">
        <x:v>OUT14</x:v>
      </x:c>
      <x:c r="G127" s="82" t="str">
        <x:v>none</x:v>
      </x:c>
      <x:c r="H127" s="83" t="str">
        <x:v>Spare output on 7i84U-B</x:v>
      </x:c>
      <x:c r="I127" s="83" t="str">
        <x:v>SPARE</x:v>
      </x:c>
      <x:c r="J127" s="83" t="str">
        <x:v>mesa_firmware_checklist.md</x:v>
      </x:c>
      <x:c r="K127" s="83" t="str">
        <x:v>Leave unlanded</x:v>
      </x:c>
    </x:row>
    <x:row r="128">
      <x:c r="A128" s="82" t="str">
        <x:v>SEVENI84UB_OUT15_SPARE</x:v>
      </x:c>
      <x:c r="B128" s="82" t="str">
        <x:v>Spare</x:v>
      </x:c>
      <x:c r="C128" s="82" t="str">
        <x:v>OUT</x:v>
      </x:c>
      <x:c r="D128" s="82" t="str">
        <x:v>7i84U-B</x:v>
      </x:c>
      <x:c r="E128" s="82" t="str">
        <x:v>TB2</x:v>
      </x:c>
      <x:c r="F128" s="82" t="str">
        <x:v>OUT15</x:v>
      </x:c>
      <x:c r="G128" s="82" t="str">
        <x:v>none</x:v>
      </x:c>
      <x:c r="H128" s="83" t="str">
        <x:v>Spare output on 7i84U-B</x:v>
      </x:c>
      <x:c r="I128" s="83" t="str">
        <x:v>SPARE</x:v>
      </x:c>
      <x:c r="J128" s="83" t="str">
        <x:v>mesa_firmware_checklist.md</x:v>
      </x:c>
      <x:c r="K128" s="83" t="str">
        <x:v>Leave unlanded</x:v>
      </x:c>
    </x:row>
    <x:row r="129">
      <x:c r="A129" s="82" t="str">
        <x:v>P3_GPIO_SPARE</x:v>
      </x:c>
      <x:c r="B129" s="82" t="str">
        <x:v>Spare</x:v>
      </x:c>
      <x:c r="C129" s="82" t="str">
        <x:v>GPIO</x:v>
      </x:c>
      <x:c r="D129" s="82" t="str">
        <x:v>7i80HDT</x:v>
      </x:c>
      <x:c r="E129" s="82" t="str">
        <x:v>P3 GPIO (bare, no daughter card)</x:v>
      </x:c>
      <x:c r="F129" s="82" t="str">
        <x:v>TBD_FROM_IDROM</x:v>
      </x:c>
      <x:c r="G129" s="82" t="str">
        <x:v>none</x:v>
      </x:c>
      <x:c r="H129" s="83" t="str">
        <x:v>Spare direct FPGA GPIO on P3 (all pins)</x:v>
      </x:c>
      <x:c r="I129" s="83" t="str">
        <x:v>SPARE</x:v>
      </x:c>
      <x:c r="J129" s="83" t="str">
        <x:v>mesa_firmware_checklist.md</x:v>
      </x:c>
      <x:c r="K129" s="83" t="str">
        <x:v>P3 is unused/spare in this configuration. Actual GPIO indices depend on the verified bitfile/IDROM. Do NOT wire 24V field signals to bare P3; use isolated field I/O.</x:v>
      </x:c>
    </x:row>
    <x:row r="130">
      <x:c r="A130" s="82" t="str">
        <x:v>SEVENI84U_VIN_24V</x:v>
      </x:c>
      <x:c r="B130" s="82" t="str">
        <x:v>Power</x:v>
      </x:c>
      <x:c r="C130" s="82" t="str">
        <x:v>POWER</x:v>
      </x:c>
      <x:c r="D130" s="82" t="str">
        <x:v>7i84U-A</x:v>
      </x:c>
      <x:c r="E130" s="82" t="str">
        <x:v>TB1</x:v>
      </x:c>
      <x:c r="F130" s="82" t="str">
        <x:v>TB1 pin 5 VIN (+24 V logic power)</x:v>
      </x:c>
      <x:c r="G130" s="82" t="str">
        <x:v>none</x:v>
      </x:c>
      <x:c r="H130" s="83" t="str">
        <x:v>Field I/O logic power</x:v>
      </x:c>
      <x:c r="I130" s="83" t="str">
        <x:v>ELECTRICALLY_VERIFIED</x:v>
      </x:c>
      <x:c r="J130" s="83" t="str">
        <x:v>Mesa 7i84U manual pp.2/7-8/47</x:v>
      </x:c>
      <x:c r="K130" s="83" t="str">
        <x:v>AG verified 08-07-2026: W1 physically RIGHT; direct VIN feed Mean Well +V2 through 5 A branch fuse to TB1-5; return -V4 to TB1-6; 24.0 VDC measured TB1-5 to TB1-6; de-energized continuity 0 ohms. Evidence: docs/commissioning_logs/mazak_commissioning_records_07-08-2026.json</x:v>
      </x:c>
    </x:row>
    <x:row r="131">
      <x:c r="A131" s="82" t="str">
        <x:v>SEVENI84U_GND</x:v>
      </x:c>
      <x:c r="B131" s="82" t="str">
        <x:v>Power</x:v>
      </x:c>
      <x:c r="C131" s="82" t="str">
        <x:v>POWER</x:v>
      </x:c>
      <x:c r="D131" s="82" t="str">
        <x:v>7i84U-A</x:v>
      </x:c>
      <x:c r="E131" s="82" t="str">
        <x:v>TB1</x:v>
      </x:c>
      <x:c r="F131" s="82" t="str">
        <x:v>TB1 pins 6/7/8 GND (VIN/VFIELD common)</x:v>
      </x:c>
      <x:c r="G131" s="82" t="str">
        <x:v>none</x:v>
      </x:c>
      <x:c r="H131" s="83" t="str">
        <x:v>VIN/VFIELD common return</x:v>
      </x:c>
      <x:c r="I131" s="83" t="str">
        <x:v>PROPOSED</x:v>
      </x:c>
      <x:c r="J131" s="83" t="str">
        <x:v>Mesa 7i84U manual pp.7-8</x:v>
      </x:c>
      <x:c r="K131" s="83" t="str">
        <x:v>All three terminals are common; land 0 V only here.</x:v>
      </x:c>
    </x:row>
    <x:row r="132">
      <x:c r="A132" s="82" t="str">
        <x:v>SEVENI84UB_VIN_24V</x:v>
      </x:c>
      <x:c r="B132" s="82" t="str">
        <x:v>Power</x:v>
      </x:c>
      <x:c r="C132" s="82" t="str">
        <x:v>POWER</x:v>
      </x:c>
      <x:c r="D132" s="82" t="str">
        <x:v>7i84U-B</x:v>
      </x:c>
      <x:c r="E132" s="82" t="str">
        <x:v>TB1</x:v>
      </x:c>
      <x:c r="F132" s="82" t="str">
        <x:v>TB1 pin 5 VIN (+24 V logic power)</x:v>
      </x:c>
      <x:c r="G132" s="82" t="str">
        <x:v>none</x:v>
      </x:c>
      <x:c r="H132" s="83" t="str">
        <x:v>Field I/O logic power</x:v>
      </x:c>
      <x:c r="I132" s="83" t="str">
        <x:v>PROPOSED</x:v>
      </x:c>
      <x:c r="J132" s="83" t="str">
        <x:v>Mesa 7i84U manual pp.2/7-8/47</x:v>
      </x:c>
      <x:c r="K132" s="83" t="str">
        <x:v>W1 left links VIN internally to VFIELDB; W1 right requires a separate 5-28 VDC VIN supply. Record W1 position and do not double-feed.</x:v>
      </x:c>
    </x:row>
    <x:row r="133">
      <x:c r="A133" s="82" t="str">
        <x:v>SEVENI84UB_GND</x:v>
      </x:c>
      <x:c r="B133" s="82" t="str">
        <x:v>Power</x:v>
      </x:c>
      <x:c r="C133" s="82" t="str">
        <x:v>POWER</x:v>
      </x:c>
      <x:c r="D133" s="82" t="str">
        <x:v>7i84U-B</x:v>
      </x:c>
      <x:c r="E133" s="82" t="str">
        <x:v>TB1</x:v>
      </x:c>
      <x:c r="F133" s="82" t="str">
        <x:v>TB1 pins 6/7/8 GND (VIN/VFIELD common)</x:v>
      </x:c>
      <x:c r="G133" s="82" t="str">
        <x:v>none</x:v>
      </x:c>
      <x:c r="H133" s="83" t="str">
        <x:v>VIN/VFIELD common return</x:v>
      </x:c>
      <x:c r="I133" s="83" t="str">
        <x:v>PROPOSED</x:v>
      </x:c>
      <x:c r="J133" s="83" t="str">
        <x:v>Mesa 7i84U manual pp.7-8</x:v>
      </x:c>
      <x:c r="K133" s="83" t="str">
        <x:v>All three terminals are common; land 0 V only here.</x:v>
      </x:c>
    </x:row>
  </x:sheetData>
  <x:conditionalFormatting sqref="I2:I133">
    <x:cfRule type="containsText" dxfId="0" priority="1" operator="containsText" text="FACTORY"/>
    <x:cfRule type="containsText" dxfId="1" priority="2" operator="containsText" text="VERIFIED"/>
    <x:cfRule type="containsText" dxfId="2" priority="3" operator="containsText" text="PENDING"/>
    <x:cfRule type="containsText" dxfId="3" priority="4" operator="containsText" text="VERIFY"/>
    <x:cfRule type="containsText" dxfId="4" priority="5" operator="containsText" text="HOLD"/>
    <x:cfRule type="containsText" dxfId="5" priority="6" operator="containsText" text="SPARE"/>
  </x:conditionalFormatting>
  <x:pageMargins left="0.7" right="0.7" top="0.75" bottom="0.75" header="0.3" footer="0.3"/>
  <x:tableParts count="1">
    <x:tablePart xmlns:r="http://schemas.openxmlformats.org/officeDocument/2006/relationships" r:id="R9d018de91af4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" hidden="0" customWidth="1"/>
    <x:col min="4" max="4" width="22" hidden="0" customWidth="1"/>
    <x:col min="5" max="5" width="12" hidden="0" customWidth="1"/>
    <x:col min="6" max="6" width="4" hidden="0" customWidth="1"/>
    <x:col min="7" max="7" width="20" hidden="0" customWidth="1"/>
    <x:col min="8" max="8" width="12" hidden="0" customWidth="1"/>
  </x:cols>
  <x:sheetData>
    <x:row r="1" ht="29" customHeight="1">
      <x:c r="A1" s="4" t="str">
        <x:v>Authority Summary — Formula-Driven from Current Pin Authority</x:v>
      </x:c>
      <x:c r="B1" s="4" t="str">
        <x:v>Authority Summary — Formula-Driven from Current Pin Authority</x:v>
      </x:c>
      <x:c r="C1" s="4" t="str">
        <x:v>Authority Summary — Formula-Driven from Current Pin Authority</x:v>
      </x:c>
      <x:c r="D1" s="4" t="str">
        <x:v>Authority Summary — Formula-Driven from Current Pin Authority</x:v>
      </x:c>
      <x:c r="E1" s="4" t="str">
        <x:v>Authority Summary — Formula-Driven from Current Pin Authority</x:v>
      </x:c>
      <x:c r="F1" s="4" t="str">
        <x:v>Authority Summary — Formula-Driven from Current Pin Authority</x:v>
      </x:c>
    </x:row>
    <x:row r="2" ht="29" customHeight="1">
      <x:c r="A2" s="4" t="str">
        <x:v>Authority Summary — Formula-Driven from Current Pin Authority</x:v>
      </x:c>
      <x:c r="B2" s="4" t="str">
        <x:v>Authority Summary — Formula-Driven from Current Pin Authority</x:v>
      </x:c>
      <x:c r="C2" s="4" t="str">
        <x:v>Authority Summary — Formula-Driven from Current Pin Authority</x:v>
      </x:c>
      <x:c r="D2" s="4" t="str">
        <x:v>Authority Summary — Formula-Driven from Current Pin Authority</x:v>
      </x:c>
      <x:c r="E2" s="4" t="str">
        <x:v>Authority Summary — Formula-Driven from Current Pin Authority</x:v>
      </x:c>
      <x:c r="F2" s="4" t="str">
        <x:v>Authority Summary — Formula-Driven from Current Pin Authority</x:v>
      </x:c>
    </x:row>
    <x:row r="3">
      <x:c r="A3" s="29" t="str">
        <x:v>Authority status</x:v>
      </x:c>
      <x:c r="B3" s="30" t="str">
        <x:v>Rows</x:v>
      </x:c>
      <x:c r="D3" s="29" t="str">
        <x:v>Mesa card</x:v>
      </x:c>
      <x:c r="E3" s="30" t="str">
        <x:v>Rows</x:v>
      </x:c>
      <x:c r="G3" s="29" t="str">
        <x:v>Direction</x:v>
      </x:c>
      <x:c r="H3" s="30" t="str">
        <x:v>Rows</x:v>
      </x:c>
    </x:row>
    <x:row r="4">
      <x:c r="A4" s="39" t="str">
        <x:v>COMMISSIONING_PENDING</x:v>
      </x:c>
      <x:c r="B4" s="40" t="n">
        <x:f>COUNTIF('Current Pin Authority'!$I$2:$I$133,A4)</x:f>
        <x:v>9</x:v>
      </x:c>
      <x:c r="D4" s="39" t="str">
        <x:v>7i44</x:v>
      </x:c>
      <x:c r="E4" s="40" t="n">
        <x:f>COUNTIF('Current Pin Authority'!$D$2:$D$133,D4)</x:f>
        <x:v>13</x:v>
      </x:c>
      <x:c r="G4" s="39" t="str">
        <x:v>ANALOG_OUT</x:v>
      </x:c>
      <x:c r="H4" s="40" t="n">
        <x:f>COUNTIF('Current Pin Authority'!$C$2:$C$133,G4)</x:f>
        <x:v>6</x:v>
      </x:c>
    </x:row>
    <x:row r="5">
      <x:c r="A5" s="41" t="str">
        <x:v>DEFERRED</x:v>
      </x:c>
      <x:c r="B5" s="42" t="n">
        <x:f>COUNTIF('Current Pin Authority'!$I$2:$I$133,A5)</x:f>
        <x:v>2</x:v>
      </x:c>
      <x:c r="D5" s="41" t="str">
        <x:v>7i49</x:v>
      </x:c>
      <x:c r="E5" s="42" t="n">
        <x:f>COUNTIF('Current Pin Authority'!$D$2:$D$133,D5)</x:f>
        <x:v>12</x:v>
      </x:c>
      <x:c r="G5" s="41" t="str">
        <x:v>ENCODER_IN</x:v>
      </x:c>
      <x:c r="H5" s="42" t="n">
        <x:f>COUNTIF('Current Pin Authority'!$C$2:$C$133,G5)</x:f>
        <x:v>1</x:v>
      </x:c>
    </x:row>
    <x:row r="6">
      <x:c r="A6" s="41" t="str">
        <x:v>ELECTRICALLY_VERIFIED</x:v>
      </x:c>
      <x:c r="B6" s="42" t="n">
        <x:f>COUNTIF('Current Pin Authority'!$I$2:$I$133,A6)</x:f>
        <x:v>1</x:v>
      </x:c>
      <x:c r="D6" s="41" t="str">
        <x:v>7i80HDT</x:v>
      </x:c>
      <x:c r="E6" s="42" t="n">
        <x:f>COUNTIF('Current Pin Authority'!$D$2:$D$133,D6)</x:f>
        <x:v>1</x:v>
      </x:c>
      <x:c r="G6" s="41" t="str">
        <x:v>GPIO</x:v>
      </x:c>
      <x:c r="H6" s="42" t="n">
        <x:f>COUNTIF('Current Pin Authority'!$C$2:$C$133,G6)</x:f>
        <x:v>1</x:v>
      </x:c>
    </x:row>
    <x:row r="7">
      <x:c r="A7" s="41" t="str">
        <x:v>FACTORY_INTERFACE</x:v>
      </x:c>
      <x:c r="B7" s="42" t="n">
        <x:f>COUNTIF('Current Pin Authority'!$I$2:$I$133,A7)</x:f>
        <x:v>57</x:v>
      </x:c>
      <x:c r="D7" s="41" t="str">
        <x:v>7i84U-A</x:v>
      </x:c>
      <x:c r="E7" s="42" t="n">
        <x:f>COUNTIF('Current Pin Authority'!$D$2:$D$133,D7)</x:f>
        <x:v>52</x:v>
      </x:c>
      <x:c r="G7" s="41" t="str">
        <x:v>IN</x:v>
      </x:c>
      <x:c r="H7" s="42" t="n">
        <x:f>COUNTIF('Current Pin Authority'!$C$2:$C$133,G7)</x:f>
        <x:v>65</x:v>
      </x:c>
    </x:row>
    <x:row r="8">
      <x:c r="A8" s="41" t="str">
        <x:v>FACTORY_LINK</x:v>
      </x:c>
      <x:c r="B8" s="42" t="n">
        <x:f>COUNTIF('Current Pin Authority'!$I$2:$I$133,A8)</x:f>
        <x:v>12</x:v>
      </x:c>
      <x:c r="D8" s="41" t="str">
        <x:v>7i84U-B</x:v>
      </x:c>
      <x:c r="E8" s="42" t="n">
        <x:f>COUNTIF('Current Pin Authority'!$D$2:$D$133,D8)</x:f>
        <x:v>52</x:v>
      </x:c>
      <x:c r="G8" s="41" t="str">
        <x:v>LINK</x:v>
      </x:c>
      <x:c r="H8" s="42" t="n">
        <x:f>COUNTIF('Current Pin Authority'!$C$2:$C$133,G8)</x:f>
        <x:v>13</x:v>
      </x:c>
    </x:row>
    <x:row r="9">
      <x:c r="A9" s="41" t="str">
        <x:v>NOT_USED</x:v>
      </x:c>
      <x:c r="B9" s="42" t="n">
        <x:f>COUNTIF('Current Pin Authority'!$I$2:$I$133,A9)</x:f>
        <x:v>2</x:v>
      </x:c>
      <x:c r="D9" s="43" t="str">
        <x:v>none</x:v>
      </x:c>
      <x:c r="E9" s="44" t="n">
        <x:f>COUNTIF('Current Pin Authority'!$D$2:$D$133,D9)</x:f>
        <x:v>2</x:v>
      </x:c>
      <x:c r="G9" s="41" t="str">
        <x:v>OUT</x:v>
      </x:c>
      <x:c r="H9" s="42" t="n">
        <x:f>COUNTIF('Current Pin Authority'!$C$2:$C$133,G9)</x:f>
        <x:v>32</x:v>
      </x:c>
    </x:row>
    <x:row r="10">
      <x:c r="A10" s="41" t="str">
        <x:v>PROPOSED</x:v>
      </x:c>
      <x:c r="B10" s="42" t="n">
        <x:f>COUNTIF('Current Pin Authority'!$I$2:$I$133,A10)</x:f>
        <x:v>11</x:v>
      </x:c>
      <x:c r="G10" s="41" t="str">
        <x:v>POWER</x:v>
      </x:c>
      <x:c r="H10" s="42" t="n">
        <x:f>COUNTIF('Current Pin Authority'!$C$2:$C$133,G10)</x:f>
        <x:v>8</x:v>
      </x:c>
    </x:row>
    <x:row r="11">
      <x:c r="A11" s="41" t="str">
        <x:v>RESERVED</x:v>
      </x:c>
      <x:c r="B11" s="42" t="n">
        <x:f>COUNTIF('Current Pin Authority'!$I$2:$I$133,A11)</x:f>
        <x:v>2</x:v>
      </x:c>
      <x:c r="G11" s="43" t="str">
        <x:v>RESOLVER_IN</x:v>
      </x:c>
      <x:c r="H11" s="44" t="n">
        <x:f>COUNTIF('Current Pin Authority'!$C$2:$C$133,G11)</x:f>
        <x:v>6</x:v>
      </x:c>
    </x:row>
    <x:row r="12">
      <x:c r="A12" s="41" t="str">
        <x:v>SPARE</x:v>
      </x:c>
      <x:c r="B12" s="42" t="n">
        <x:f>COUNTIF('Current Pin Authority'!$I$2:$I$133,A12)</x:f>
        <x:v>35</x:v>
      </x:c>
    </x:row>
    <x:row r="13">
      <x:c r="A13" s="43" t="str">
        <x:v>UNBOUND</x:v>
      </x:c>
      <x:c r="B13" s="44" t="n">
        <x:f>COUNTIF('Current Pin Authority'!$I$2:$I$133,A13)</x:f>
        <x:v>1</x:v>
      </x:c>
    </x:row>
  </x:sheetData>
  <x:mergeCells>
    <x:mergeCell ref="A1:F2"/>
  </x:mergeCells>
  <x:pageMargins left="0.7" right="0.7" top="0.75" bottom="0.75" header="0.3" footer="0.3"/>
</x:worksheet>
</file>