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s_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<sst xmlns="http://schemas.openxmlformats.org/spreadsheetml/2006/main" count="147" uniqueCount="115">
  <si>
    <t xml:space="preserve">Mazak VQC 20/40 LinuxCNC Retrofit — Parts List (Ethernet Architecture)</t>
  </si>
  <si>
    <t xml:space="preserve">Architecture: 7i97T Ethernet host  +  7i84 utility I/O  (replaces 6i25 PCIe + 7i77)</t>
  </si>
  <si>
    <t xml:space="preserve">Legend:</t>
  </si>
  <si>
    <t xml:space="preserve">  New / Changed</t>
  </si>
  <si>
    <t xml:space="preserve">  Removed (original PCIe plan)</t>
  </si>
  <si>
    <t xml:space="preserve">#</t>
  </si>
  <si>
    <t xml:space="preserve">Category</t>
  </si>
  <si>
    <t xml:space="preserve">Item / Description</t>
  </si>
  <si>
    <t xml:space="preserve">Part # / Model</t>
  </si>
  <si>
    <t xml:space="preserve">Qty</t>
  </si>
  <si>
    <t xml:space="preserve">Unit Price (USD)</t>
  </si>
  <si>
    <t xml:space="preserve">Ext Price (USD)</t>
  </si>
  <si>
    <t xml:space="preserve">Source</t>
  </si>
  <si>
    <t xml:space="preserve">Status</t>
  </si>
  <si>
    <t xml:space="preserve">Notes</t>
  </si>
  <si>
    <t xml:space="preserve">MESA CONTROL CARDS</t>
  </si>
  <si>
    <t xml:space="preserve">Mesa Cards</t>
  </si>
  <si>
    <t xml:space="preserve">7i97T Ethernet Analog Servo + I/O (with terminal board)</t>
  </si>
  <si>
    <t xml:space="preserve">MESA 7I97T</t>
  </si>
  <si>
    <t xml:space="preserve">mesanet.com</t>
  </si>
  <si>
    <t xml:space="preserve">IN STOCK</t>
  </si>
  <si>
    <t xml:space="preserve">Replaces 6i25+7i77 combo. 6-axis ±10V, 6 encoders, sserial port, 16in/6out onboard. IN STOCK ×19</t>
  </si>
  <si>
    <t xml:space="preserve">7i84 Isolated I/O Daughtercard (48 I/O via sserial)</t>
  </si>
  <si>
    <t xml:space="preserve">MESA 7I84</t>
  </si>
  <si>
    <t xml:space="preserve">Check stock</t>
  </si>
  <si>
    <t xml:space="preserve">ATC/hydraulic/coolant/utility I/O — unchanged from original plan</t>
  </si>
  <si>
    <t xml:space="preserve">REMOVED</t>
  </si>
  <si>
    <t xml:space="preserve">Mesa Cards (REMOVED)</t>
  </si>
  <si>
    <t xml:space="preserve">6i25 PCIe Host Card — REMOVED from build</t>
  </si>
  <si>
    <t xml:space="preserve">MESA 6I25</t>
  </si>
  <si>
    <t xml:space="preserve">Replaced by 7i97T Ethernet card</t>
  </si>
  <si>
    <t xml:space="preserve">7i77 Analog Servo Daughtercard — REMOVED (out of stock anyway)</t>
  </si>
  <si>
    <t xml:space="preserve">MESA 7I77</t>
  </si>
  <si>
    <t xml:space="preserve">REMOVED / OOS</t>
  </si>
  <si>
    <t xml:space="preserve">Replaced by 7i97T which has this functionality built in</t>
  </si>
  <si>
    <t xml:space="preserve">PC / HOST COMPUTER</t>
  </si>
  <si>
    <t xml:space="preserve">PC Hardware</t>
  </si>
  <si>
    <t xml:space="preserve">Tower PC — Intel i5/i7 LGA1200 or AM4, mini-ITX or mATX</t>
  </si>
  <si>
    <t xml:space="preserve">TBD (used/refurb)</t>
  </si>
  <si>
    <t xml:space="preserve">eBay / local</t>
  </si>
  <si>
    <t xml:space="preserve">Sourcing</t>
  </si>
  <si>
    <t xml:space="preserve">No PCIe Mesa slot required with Ethernet — more PC options available. Needs Intel NIC preferred.</t>
  </si>
  <si>
    <t xml:space="preserve">RAM — 8GB DDR4 (if not included with PC)</t>
  </si>
  <si>
    <t xml:space="preserve">Generic DDR4 8GB</t>
  </si>
  <si>
    <t xml:space="preserve">Amazon</t>
  </si>
  <si>
    <t xml:space="preserve">If needed</t>
  </si>
  <si>
    <t xml:space="preserve">LinuxCNC runs fine on 4–8GB</t>
  </si>
  <si>
    <t xml:space="preserve">SSD — 120GB+ SATA or NVMe</t>
  </si>
  <si>
    <t xml:space="preserve">Generic SSD 120GB</t>
  </si>
  <si>
    <t xml:space="preserve">Debian install target</t>
  </si>
  <si>
    <t xml:space="preserve">AMD Radeon RX 550 PCIe GPU (HDMI + DP)</t>
  </si>
  <si>
    <t xml:space="preserve">RX 550 4GB</t>
  </si>
  <si>
    <t xml:space="preserve">eBay</t>
  </si>
  <si>
    <t xml:space="preserve">Low-power, amdgpu driver, good RT latency. No external power needed.</t>
  </si>
  <si>
    <t xml:space="preserve">Intel NIC — dedicated Ethernet port for Mesa 7i97T</t>
  </si>
  <si>
    <t xml:space="preserve">Intel I210-T1 or I350-T1 PCIe x1</t>
  </si>
  <si>
    <t xml:space="preserve">eBay / Amazon</t>
  </si>
  <si>
    <t xml:space="preserve">Recommended</t>
  </si>
  <si>
    <t xml:space="preserve">Intel NIC preferred for Mesa Ethernet. Realtek can cause latency issues on RT kernel.</t>
  </si>
  <si>
    <t xml:space="preserve">NETWORKING</t>
  </si>
  <si>
    <t xml:space="preserve">Networking</t>
  </si>
  <si>
    <t xml:space="preserve">Cat5e/Cat6 shielded cable — PC to 7i97T (direct or via switch)</t>
  </si>
  <si>
    <t xml:space="preserve">STP Cat6 patch cable 3ft</t>
  </si>
  <si>
    <t xml:space="preserve">Buy</t>
  </si>
  <si>
    <t xml:space="preserve">Direct PC-to-7i97T connection, no switch needed. Short run inside cabinet.</t>
  </si>
  <si>
    <t xml:space="preserve">POWER SUPPLIES</t>
  </si>
  <si>
    <t xml:space="preserve">Power Supply</t>
  </si>
  <si>
    <t xml:space="preserve">5VDC PSU for 7i97T logic power</t>
  </si>
  <si>
    <t xml:space="preserve">Mean Well RS-25-5 or similar</t>
  </si>
  <si>
    <t xml:space="preserve">Amazon / Mouser</t>
  </si>
  <si>
    <t xml:space="preserve">7i97T runs from 5V single supply</t>
  </si>
  <si>
    <t xml:space="preserve">24VDC PSU for field I/O (7i84, sensors, outputs)</t>
  </si>
  <si>
    <t xml:space="preserve">Mean Well DR-60-24 or similar</t>
  </si>
  <si>
    <t xml:space="preserve">Verify — may exist</t>
  </si>
  <si>
    <t xml:space="preserve">Check if existing Mazak 24V supply is usable</t>
  </si>
  <si>
    <t xml:space="preserve">WIRING &amp; CONNECTORS</t>
  </si>
  <si>
    <t xml:space="preserve">Wiring</t>
  </si>
  <si>
    <t xml:space="preserve">Shielded twisted pair cable — analog servo commands (±10V)</t>
  </si>
  <si>
    <t xml:space="preserve">Belden 9501 or equiv, 22AWG STP</t>
  </si>
  <si>
    <t xml:space="preserve">Mouser / Digi-Key</t>
  </si>
  <si>
    <t xml:space="preserve">X/Y/Z axis command wiring to drives. ~10ft per axis.</t>
  </si>
  <si>
    <t xml:space="preserve">Shielded cable — encoder feedback (differential)</t>
  </si>
  <si>
    <t xml:space="preserve">Belden 9728 or equiv, 22AWG 4-pair</t>
  </si>
  <si>
    <t xml:space="preserve">Magnescale X/Z encoder runs to 7i97T encoder inputs</t>
  </si>
  <si>
    <t xml:space="preserve">24V control wiring — I/O field connections</t>
  </si>
  <si>
    <t xml:space="preserve">18 AWG stranded, various colors</t>
  </si>
  <si>
    <t xml:space="preserve">Amazon / local</t>
  </si>
  <si>
    <t xml:space="preserve">Limit switches, ATC solenoids, contactors</t>
  </si>
  <si>
    <t xml:space="preserve">Pluggable terminal block connectors 3.5mm — spare set</t>
  </si>
  <si>
    <t xml:space="preserve">Phoenix Contact or equiv</t>
  </si>
  <si>
    <t xml:space="preserve">Mouser / Amazon</t>
  </si>
  <si>
    <t xml:space="preserve">7i97T and 7i84 use 3.5mm pluggable screw terminals</t>
  </si>
  <si>
    <t xml:space="preserve">RESOLVER INTERFACE (Y-AXIS)</t>
  </si>
  <si>
    <t xml:space="preserve">Resolver I/F</t>
  </si>
  <si>
    <t xml:space="preserve">Mesa 7i49 Resolver Interface (6-channel via sserial)</t>
  </si>
  <si>
    <t xml:space="preserve">MESA 7I49</t>
  </si>
  <si>
    <t xml:space="preserve">Y-axis uses Tamagawa resolver — requires 7i49 on sserial port. Connects to 7i97T sserial port.</t>
  </si>
  <si>
    <t xml:space="preserve">SOFTWARE</t>
  </si>
  <si>
    <t xml:space="preserve">Software</t>
  </si>
  <si>
    <t xml:space="preserve">LinuxCNC 2.9.x on Debian 12 — Ethernet PREEMPT_RT build</t>
  </si>
  <si>
    <t xml:space="preserve">linuxcnc.org ISO</t>
  </si>
  <si>
    <t xml:space="preserve">linuxcnc.org</t>
  </si>
  <si>
    <t xml:space="preserve">Free</t>
  </si>
  <si>
    <t xml:space="preserve">Use hm2_eth driver for 7i97T. PREEMPT_RT kernel required (standard in 2.9.x Debian image).</t>
  </si>
  <si>
    <t xml:space="preserve">MISCELLANEOUS</t>
  </si>
  <si>
    <t xml:space="preserve">Misc</t>
  </si>
  <si>
    <t xml:space="preserve">DIN rail, cable duct, mounting hardware for PC + cards</t>
  </si>
  <si>
    <t xml:space="preserve">DIN rail 35mm + duct</t>
  </si>
  <si>
    <t xml:space="preserve">Cabinet mounting for PC and Mesa cards</t>
  </si>
  <si>
    <t xml:space="preserve">USB drive for Debian install</t>
  </si>
  <si>
    <t xml:space="preserve">8GB+ USB stick</t>
  </si>
  <si>
    <t xml:space="preserve">May have</t>
  </si>
  <si>
    <t xml:space="preserve">Bootable Debian LinuxCNC install media</t>
  </si>
  <si>
    <t xml:space="preserve">ESTIMATED TOTAL (active items only)</t>
  </si>
  <si>
    <t xml:space="preserve">Notes: Prices are estimates. Verify Mesa stock at store.mesanet.com before ordering. Y-axis resolver requires 7i49 on sserial — confirm 7i97T sserial port supports it before finalizing.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</si>
</sst>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DEEAF1"/>
      </patternFill>
    </fill>
    <fill>
      <patternFill patternType="solid">
        <fgColor rgb="FFFCE4D6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FFFFFF"/>
      </bottom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6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40"/>
  </cols>
  <sheetData>
    <row r="1" customFormat="false" ht="15" hidden="false" customHeight="true" outlineLevel="0" collapsed="false"/>
    <row r="2" customFormat="false" ht="27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.75" hidden="false" customHeight="true" outlineLevel="0" collapsed="false">
      <c r="B3" s="2" t="s">
        <v>1</v>
      </c>
    </row>
    <row r="4" customFormat="false" ht="15.75" hidden="false" customHeight="true" outlineLevel="0" collapsed="false">
      <c r="B4" s="3" t="s">
        <v>2</v>
      </c>
      <c r="C4" s="4" t="s">
        <v>3</v>
      </c>
      <c r="D4" s="3"/>
      <c r="E4" s="5" t="s">
        <v>4</v>
      </c>
      <c r="F4" s="3"/>
      <c r="G4" s="3"/>
      <c r="H4" s="3"/>
      <c r="I4" s="3"/>
      <c r="J4" s="3"/>
      <c r="K4" s="3"/>
    </row>
    <row r="5" customFormat="false" ht="30" hidden="false" customHeight="true" outlineLevel="0" collapsed="false"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</row>
    <row r="6" customFormat="false" ht="19.5" hidden="false" customHeight="true" outlineLevel="0" collapsed="false">
      <c r="B6" s="7" t="s">
        <v>15</v>
      </c>
      <c r="C6" s="7"/>
      <c r="D6" s="7"/>
      <c r="E6" s="7"/>
      <c r="F6" s="7"/>
      <c r="G6" s="7"/>
      <c r="H6" s="7"/>
      <c r="I6" s="7"/>
      <c r="J6" s="7"/>
      <c r="K6" s="7"/>
    </row>
    <row r="7" customFormat="false" ht="19.5" hidden="false" customHeight="true" outlineLevel="0" collapsed="false">
      <c r="B7" s="8" t="n">
        <v>1</v>
      </c>
      <c r="C7" s="8" t="s">
        <v>16</v>
      </c>
      <c r="D7" s="8" t="s">
        <v>17</v>
      </c>
      <c r="E7" s="8" t="s">
        <v>18</v>
      </c>
      <c r="F7" s="8" t="n">
        <v>1</v>
      </c>
      <c r="G7" s="9" t="n">
        <v>279</v>
      </c>
      <c r="H7" s="9" t="n">
        <f aca="false">F7*G7</f>
        <v>279</v>
      </c>
      <c r="I7" s="8" t="s">
        <v>19</v>
      </c>
      <c r="J7" s="8" t="s">
        <v>20</v>
      </c>
      <c r="K7" s="10" t="s">
        <v>21</v>
      </c>
    </row>
    <row r="8" customFormat="false" ht="19.5" hidden="false" customHeight="true" outlineLevel="0" collapsed="false">
      <c r="B8" s="8" t="n">
        <v>2</v>
      </c>
      <c r="C8" s="8" t="s">
        <v>16</v>
      </c>
      <c r="D8" s="8" t="s">
        <v>22</v>
      </c>
      <c r="E8" s="8" t="s">
        <v>23</v>
      </c>
      <c r="F8" s="8" t="n">
        <v>1</v>
      </c>
      <c r="G8" s="9" t="n">
        <v>89</v>
      </c>
      <c r="H8" s="9" t="n">
        <f aca="false">F8*G8</f>
        <v>89</v>
      </c>
      <c r="I8" s="8" t="s">
        <v>19</v>
      </c>
      <c r="J8" s="8" t="s">
        <v>24</v>
      </c>
      <c r="K8" s="10" t="s">
        <v>25</v>
      </c>
    </row>
    <row r="9" customFormat="false" ht="19.5" hidden="false" customHeight="true" outlineLevel="0" collapsed="false">
      <c r="B9" s="11" t="s">
        <v>26</v>
      </c>
      <c r="C9" s="11" t="s">
        <v>27</v>
      </c>
      <c r="D9" s="11" t="s">
        <v>28</v>
      </c>
      <c r="E9" s="11" t="s">
        <v>29</v>
      </c>
      <c r="F9" s="11" t="n">
        <v>1</v>
      </c>
      <c r="G9" s="12" t="n">
        <v>99</v>
      </c>
      <c r="H9" s="12" t="n">
        <f aca="false">F9*G9</f>
        <v>99</v>
      </c>
      <c r="I9" s="11" t="s">
        <v>19</v>
      </c>
      <c r="J9" s="11" t="s">
        <v>26</v>
      </c>
      <c r="K9" s="13" t="s">
        <v>30</v>
      </c>
    </row>
    <row r="10" customFormat="false" ht="19.5" hidden="false" customHeight="true" outlineLevel="0" collapsed="false">
      <c r="B10" s="11" t="s">
        <v>26</v>
      </c>
      <c r="C10" s="11" t="s">
        <v>27</v>
      </c>
      <c r="D10" s="11" t="s">
        <v>31</v>
      </c>
      <c r="E10" s="11" t="s">
        <v>32</v>
      </c>
      <c r="F10" s="11" t="n">
        <v>1</v>
      </c>
      <c r="G10" s="12" t="n">
        <v>229</v>
      </c>
      <c r="H10" s="12" t="n">
        <f aca="false">F10*G10</f>
        <v>229</v>
      </c>
      <c r="I10" s="11" t="s">
        <v>19</v>
      </c>
      <c r="J10" s="11" t="s">
        <v>33</v>
      </c>
      <c r="K10" s="13" t="s">
        <v>34</v>
      </c>
    </row>
    <row r="11" customFormat="false" ht="19.5" hidden="false" customHeight="true" outlineLevel="0" collapsed="false">
      <c r="B11" s="7" t="s">
        <v>35</v>
      </c>
      <c r="C11" s="7"/>
      <c r="D11" s="7"/>
      <c r="E11" s="7"/>
      <c r="F11" s="7"/>
      <c r="G11" s="7"/>
      <c r="H11" s="7"/>
      <c r="I11" s="7"/>
      <c r="J11" s="7"/>
      <c r="K11" s="7"/>
    </row>
    <row r="12" customFormat="false" ht="19.5" hidden="false" customHeight="true" outlineLevel="0" collapsed="false">
      <c r="B12" s="14" t="n">
        <v>3</v>
      </c>
      <c r="C12" s="14" t="s">
        <v>36</v>
      </c>
      <c r="D12" s="14" t="s">
        <v>37</v>
      </c>
      <c r="E12" s="14" t="s">
        <v>38</v>
      </c>
      <c r="F12" s="14" t="n">
        <v>1</v>
      </c>
      <c r="G12" s="15" t="n">
        <v>150</v>
      </c>
      <c r="H12" s="15" t="n">
        <f aca="false">F12*G12</f>
        <v>150</v>
      </c>
      <c r="I12" s="14" t="s">
        <v>39</v>
      </c>
      <c r="J12" s="14" t="s">
        <v>40</v>
      </c>
      <c r="K12" s="16" t="s">
        <v>41</v>
      </c>
    </row>
    <row r="13" customFormat="false" ht="19.5" hidden="false" customHeight="true" outlineLevel="0" collapsed="false">
      <c r="B13" s="17" t="n">
        <v>4</v>
      </c>
      <c r="C13" s="17" t="s">
        <v>36</v>
      </c>
      <c r="D13" s="17" t="s">
        <v>42</v>
      </c>
      <c r="E13" s="17" t="s">
        <v>43</v>
      </c>
      <c r="F13" s="17" t="n">
        <v>1</v>
      </c>
      <c r="G13" s="18" t="n">
        <v>25</v>
      </c>
      <c r="H13" s="18" t="n">
        <f aca="false">F13*G13</f>
        <v>25</v>
      </c>
      <c r="I13" s="17" t="s">
        <v>44</v>
      </c>
      <c r="J13" s="17" t="s">
        <v>45</v>
      </c>
      <c r="K13" s="19" t="s">
        <v>46</v>
      </c>
    </row>
    <row r="14" customFormat="false" ht="19.5" hidden="false" customHeight="true" outlineLevel="0" collapsed="false">
      <c r="B14" s="14" t="n">
        <v>5</v>
      </c>
      <c r="C14" s="14" t="s">
        <v>36</v>
      </c>
      <c r="D14" s="14" t="s">
        <v>47</v>
      </c>
      <c r="E14" s="14" t="s">
        <v>48</v>
      </c>
      <c r="F14" s="14" t="n">
        <v>1</v>
      </c>
      <c r="G14" s="15" t="n">
        <v>20</v>
      </c>
      <c r="H14" s="15" t="n">
        <f aca="false">F14*G14</f>
        <v>20</v>
      </c>
      <c r="I14" s="14" t="s">
        <v>44</v>
      </c>
      <c r="J14" s="14" t="s">
        <v>45</v>
      </c>
      <c r="K14" s="16" t="s">
        <v>49</v>
      </c>
    </row>
    <row r="15" customFormat="false" ht="19.5" hidden="false" customHeight="true" outlineLevel="0" collapsed="false">
      <c r="B15" s="17" t="n">
        <v>6</v>
      </c>
      <c r="C15" s="17" t="s">
        <v>36</v>
      </c>
      <c r="D15" s="17" t="s">
        <v>50</v>
      </c>
      <c r="E15" s="17" t="s">
        <v>51</v>
      </c>
      <c r="F15" s="17" t="n">
        <v>1</v>
      </c>
      <c r="G15" s="18" t="n">
        <v>45</v>
      </c>
      <c r="H15" s="18" t="n">
        <f aca="false">F15*G15</f>
        <v>45</v>
      </c>
      <c r="I15" s="17" t="s">
        <v>52</v>
      </c>
      <c r="J15" s="17" t="s">
        <v>40</v>
      </c>
      <c r="K15" s="19" t="s">
        <v>53</v>
      </c>
    </row>
    <row r="16" customFormat="false" ht="19.5" hidden="false" customHeight="true" outlineLevel="0" collapsed="false">
      <c r="B16" s="14" t="n">
        <v>7</v>
      </c>
      <c r="C16" s="14" t="s">
        <v>36</v>
      </c>
      <c r="D16" s="14" t="s">
        <v>54</v>
      </c>
      <c r="E16" s="14" t="s">
        <v>55</v>
      </c>
      <c r="F16" s="14" t="n">
        <v>1</v>
      </c>
      <c r="G16" s="15" t="n">
        <v>25</v>
      </c>
      <c r="H16" s="15" t="n">
        <f aca="false">F16*G16</f>
        <v>25</v>
      </c>
      <c r="I16" s="14" t="s">
        <v>56</v>
      </c>
      <c r="J16" s="14" t="s">
        <v>57</v>
      </c>
      <c r="K16" s="16" t="s">
        <v>58</v>
      </c>
    </row>
    <row r="17" customFormat="false" ht="19.5" hidden="false" customHeight="true" outlineLevel="0" collapsed="false">
      <c r="B17" s="7" t="s">
        <v>59</v>
      </c>
      <c r="C17" s="7"/>
      <c r="D17" s="7"/>
      <c r="E17" s="7"/>
      <c r="F17" s="7"/>
      <c r="G17" s="7"/>
      <c r="H17" s="7"/>
      <c r="I17" s="7"/>
      <c r="J17" s="7"/>
      <c r="K17" s="7"/>
    </row>
    <row r="18" customFormat="false" ht="19.5" hidden="false" customHeight="true" outlineLevel="0" collapsed="false">
      <c r="B18" s="14" t="n">
        <v>8</v>
      </c>
      <c r="C18" s="14" t="s">
        <v>60</v>
      </c>
      <c r="D18" s="14" t="s">
        <v>61</v>
      </c>
      <c r="E18" s="14" t="s">
        <v>62</v>
      </c>
      <c r="F18" s="14" t="n">
        <v>1</v>
      </c>
      <c r="G18" s="15" t="n">
        <v>8</v>
      </c>
      <c r="H18" s="15" t="n">
        <f aca="false">F18*G18</f>
        <v>8</v>
      </c>
      <c r="I18" s="14" t="s">
        <v>44</v>
      </c>
      <c r="J18" s="14" t="s">
        <v>63</v>
      </c>
      <c r="K18" s="16" t="s">
        <v>64</v>
      </c>
    </row>
    <row r="19" customFormat="false" ht="19.5" hidden="false" customHeight="true" outlineLevel="0" collapsed="false">
      <c r="B19" s="7" t="s">
        <v>65</v>
      </c>
      <c r="C19" s="7"/>
      <c r="D19" s="7"/>
      <c r="E19" s="7"/>
      <c r="F19" s="7"/>
      <c r="G19" s="7"/>
      <c r="H19" s="7"/>
      <c r="I19" s="7"/>
      <c r="J19" s="7"/>
      <c r="K19" s="7"/>
    </row>
    <row r="20" customFormat="false" ht="19.5" hidden="false" customHeight="true" outlineLevel="0" collapsed="false">
      <c r="B20" s="14" t="n">
        <v>9</v>
      </c>
      <c r="C20" s="14" t="s">
        <v>66</v>
      </c>
      <c r="D20" s="14" t="s">
        <v>67</v>
      </c>
      <c r="E20" s="14" t="s">
        <v>68</v>
      </c>
      <c r="F20" s="14" t="n">
        <v>1</v>
      </c>
      <c r="G20" s="15" t="n">
        <v>18</v>
      </c>
      <c r="H20" s="15" t="n">
        <f aca="false">F20*G20</f>
        <v>18</v>
      </c>
      <c r="I20" s="14" t="s">
        <v>69</v>
      </c>
      <c r="J20" s="14" t="s">
        <v>63</v>
      </c>
      <c r="K20" s="16" t="s">
        <v>70</v>
      </c>
    </row>
    <row r="21" customFormat="false" ht="19.5" hidden="false" customHeight="true" outlineLevel="0" collapsed="false">
      <c r="B21" s="17" t="n">
        <v>10</v>
      </c>
      <c r="C21" s="17" t="s">
        <v>66</v>
      </c>
      <c r="D21" s="17" t="s">
        <v>71</v>
      </c>
      <c r="E21" s="17" t="s">
        <v>72</v>
      </c>
      <c r="F21" s="17" t="n">
        <v>1</v>
      </c>
      <c r="G21" s="18" t="n">
        <v>35</v>
      </c>
      <c r="H21" s="18" t="n">
        <f aca="false">F21*G21</f>
        <v>35</v>
      </c>
      <c r="I21" s="17" t="s">
        <v>69</v>
      </c>
      <c r="J21" s="17" t="s">
        <v>73</v>
      </c>
      <c r="K21" s="19" t="s">
        <v>74</v>
      </c>
    </row>
    <row r="22" customFormat="false" ht="19.5" hidden="false" customHeight="true" outlineLevel="0" collapsed="false">
      <c r="B22" s="7" t="s">
        <v>75</v>
      </c>
      <c r="C22" s="7"/>
      <c r="D22" s="7"/>
      <c r="E22" s="7"/>
      <c r="F22" s="7"/>
      <c r="G22" s="7"/>
      <c r="H22" s="7"/>
      <c r="I22" s="7"/>
      <c r="J22" s="7"/>
      <c r="K22" s="7"/>
    </row>
    <row r="23" customFormat="false" ht="19.5" hidden="false" customHeight="true" outlineLevel="0" collapsed="false">
      <c r="B23" s="17" t="n">
        <v>11</v>
      </c>
      <c r="C23" s="17" t="s">
        <v>76</v>
      </c>
      <c r="D23" s="17" t="s">
        <v>77</v>
      </c>
      <c r="E23" s="17" t="s">
        <v>78</v>
      </c>
      <c r="F23" s="17" t="n">
        <v>1</v>
      </c>
      <c r="G23" s="18" t="n">
        <v>40</v>
      </c>
      <c r="H23" s="18" t="n">
        <f aca="false">F23*G23</f>
        <v>40</v>
      </c>
      <c r="I23" s="17" t="s">
        <v>79</v>
      </c>
      <c r="J23" s="17" t="s">
        <v>63</v>
      </c>
      <c r="K23" s="19" t="s">
        <v>80</v>
      </c>
    </row>
    <row r="24" customFormat="false" ht="19.5" hidden="false" customHeight="true" outlineLevel="0" collapsed="false">
      <c r="B24" s="14" t="n">
        <v>12</v>
      </c>
      <c r="C24" s="14" t="s">
        <v>76</v>
      </c>
      <c r="D24" s="14" t="s">
        <v>81</v>
      </c>
      <c r="E24" s="14" t="s">
        <v>82</v>
      </c>
      <c r="F24" s="14" t="n">
        <v>1</v>
      </c>
      <c r="G24" s="15" t="n">
        <v>40</v>
      </c>
      <c r="H24" s="15" t="n">
        <f aca="false">F24*G24</f>
        <v>40</v>
      </c>
      <c r="I24" s="14" t="s">
        <v>79</v>
      </c>
      <c r="J24" s="14" t="s">
        <v>63</v>
      </c>
      <c r="K24" s="16" t="s">
        <v>83</v>
      </c>
    </row>
    <row r="25" customFormat="false" ht="19.5" hidden="false" customHeight="true" outlineLevel="0" collapsed="false">
      <c r="B25" s="17" t="n">
        <v>13</v>
      </c>
      <c r="C25" s="17" t="s">
        <v>76</v>
      </c>
      <c r="D25" s="17" t="s">
        <v>84</v>
      </c>
      <c r="E25" s="17" t="s">
        <v>85</v>
      </c>
      <c r="F25" s="17" t="n">
        <v>1</v>
      </c>
      <c r="G25" s="18" t="n">
        <v>25</v>
      </c>
      <c r="H25" s="18" t="n">
        <f aca="false">F25*G25</f>
        <v>25</v>
      </c>
      <c r="I25" s="17" t="s">
        <v>86</v>
      </c>
      <c r="J25" s="17" t="s">
        <v>63</v>
      </c>
      <c r="K25" s="19" t="s">
        <v>87</v>
      </c>
    </row>
    <row r="26" customFormat="false" ht="19.5" hidden="false" customHeight="true" outlineLevel="0" collapsed="false">
      <c r="B26" s="14" t="n">
        <v>14</v>
      </c>
      <c r="C26" s="14" t="s">
        <v>76</v>
      </c>
      <c r="D26" s="14" t="s">
        <v>88</v>
      </c>
      <c r="E26" s="14" t="s">
        <v>89</v>
      </c>
      <c r="F26" s="14" t="n">
        <v>1</v>
      </c>
      <c r="G26" s="15" t="n">
        <v>20</v>
      </c>
      <c r="H26" s="15" t="n">
        <f aca="false">F26*G26</f>
        <v>20</v>
      </c>
      <c r="I26" s="14" t="s">
        <v>90</v>
      </c>
      <c r="J26" s="14" t="s">
        <v>63</v>
      </c>
      <c r="K26" s="16" t="s">
        <v>91</v>
      </c>
    </row>
    <row r="27" customFormat="false" ht="19.5" hidden="false" customHeight="true" outlineLevel="0" collapsed="false">
      <c r="B27" s="7" t="s">
        <v>92</v>
      </c>
      <c r="C27" s="7"/>
      <c r="D27" s="7"/>
      <c r="E27" s="7"/>
      <c r="F27" s="7"/>
      <c r="G27" s="7"/>
      <c r="H27" s="7"/>
      <c r="I27" s="7"/>
      <c r="J27" s="7"/>
      <c r="K27" s="7"/>
    </row>
    <row r="28" customFormat="false" ht="19.5" hidden="false" customHeight="true" outlineLevel="0" collapsed="false">
      <c r="B28" s="14" t="n">
        <v>15</v>
      </c>
      <c r="C28" s="14" t="s">
        <v>93</v>
      </c>
      <c r="D28" s="14" t="s">
        <v>94</v>
      </c>
      <c r="E28" s="14" t="s">
        <v>95</v>
      </c>
      <c r="F28" s="14" t="n">
        <v>1</v>
      </c>
      <c r="G28" s="15" t="n">
        <v>149</v>
      </c>
      <c r="H28" s="15" t="n">
        <f aca="false">F28*G28</f>
        <v>149</v>
      </c>
      <c r="I28" s="14" t="s">
        <v>19</v>
      </c>
      <c r="J28" s="14" t="s">
        <v>24</v>
      </c>
      <c r="K28" s="16" t="s">
        <v>96</v>
      </c>
    </row>
    <row r="29" customFormat="false" ht="19.5" hidden="false" customHeight="true" outlineLevel="0" collapsed="false">
      <c r="B29" s="7" t="s">
        <v>97</v>
      </c>
      <c r="C29" s="7"/>
      <c r="D29" s="7"/>
      <c r="E29" s="7"/>
      <c r="F29" s="7"/>
      <c r="G29" s="7"/>
      <c r="H29" s="7"/>
      <c r="I29" s="7"/>
      <c r="J29" s="7"/>
      <c r="K29" s="7"/>
    </row>
    <row r="30" customFormat="false" ht="19.5" hidden="false" customHeight="true" outlineLevel="0" collapsed="false">
      <c r="B30" s="14" t="n">
        <v>16</v>
      </c>
      <c r="C30" s="14" t="s">
        <v>98</v>
      </c>
      <c r="D30" s="14" t="s">
        <v>99</v>
      </c>
      <c r="E30" s="14" t="s">
        <v>100</v>
      </c>
      <c r="F30" s="14" t="n">
        <v>1</v>
      </c>
      <c r="G30" s="15" t="n">
        <v>0</v>
      </c>
      <c r="H30" s="15" t="n">
        <f aca="false">F30*G30</f>
        <v>0</v>
      </c>
      <c r="I30" s="14" t="s">
        <v>101</v>
      </c>
      <c r="J30" s="14" t="s">
        <v>102</v>
      </c>
      <c r="K30" s="16" t="s">
        <v>103</v>
      </c>
    </row>
    <row r="31" customFormat="false" ht="19.5" hidden="false" customHeight="true" outlineLevel="0" collapsed="false">
      <c r="B31" s="7" t="s">
        <v>104</v>
      </c>
      <c r="C31" s="7"/>
      <c r="D31" s="7"/>
      <c r="E31" s="7"/>
      <c r="F31" s="7"/>
      <c r="G31" s="7"/>
      <c r="H31" s="7"/>
      <c r="I31" s="7"/>
      <c r="J31" s="7"/>
      <c r="K31" s="7"/>
    </row>
    <row r="32" customFormat="false" ht="19.5" hidden="false" customHeight="true" outlineLevel="0" collapsed="false">
      <c r="B32" s="14" t="n">
        <v>17</v>
      </c>
      <c r="C32" s="14" t="s">
        <v>105</v>
      </c>
      <c r="D32" s="14" t="s">
        <v>106</v>
      </c>
      <c r="E32" s="14" t="s">
        <v>107</v>
      </c>
      <c r="F32" s="14" t="n">
        <v>1</v>
      </c>
      <c r="G32" s="15" t="n">
        <v>30</v>
      </c>
      <c r="H32" s="15" t="n">
        <f aca="false">F32*G32</f>
        <v>30</v>
      </c>
      <c r="I32" s="14" t="s">
        <v>86</v>
      </c>
      <c r="J32" s="14" t="s">
        <v>63</v>
      </c>
      <c r="K32" s="16" t="s">
        <v>108</v>
      </c>
    </row>
    <row r="33" customFormat="false" ht="19.5" hidden="false" customHeight="true" outlineLevel="0" collapsed="false">
      <c r="B33" s="17" t="n">
        <v>18</v>
      </c>
      <c r="C33" s="17" t="s">
        <v>105</v>
      </c>
      <c r="D33" s="17" t="s">
        <v>109</v>
      </c>
      <c r="E33" s="17" t="s">
        <v>110</v>
      </c>
      <c r="F33" s="17" t="n">
        <v>1</v>
      </c>
      <c r="G33" s="18" t="n">
        <v>8</v>
      </c>
      <c r="H33" s="18" t="n">
        <f aca="false">F33*G33</f>
        <v>8</v>
      </c>
      <c r="I33" s="17" t="s">
        <v>44</v>
      </c>
      <c r="J33" s="17" t="s">
        <v>111</v>
      </c>
      <c r="K33" s="19" t="s">
        <v>112</v>
      </c>
    </row>
    <row r="35" customFormat="false" ht="21.75" hidden="false" customHeight="true" outlineLevel="0" collapsed="false">
      <c r="B35" s="20" t="s">
        <v>113</v>
      </c>
      <c r="C35" s="20"/>
      <c r="D35" s="20"/>
      <c r="E35" s="20"/>
      <c r="F35" s="20"/>
      <c r="G35" s="20"/>
      <c r="H35" s="21" t="n">
        <f aca="false">H7+H8+H12+H13+H14+H15+H16+H18+H20+H21+H23+H24+H25+H26+H28+H30+H32+H33</f>
        <v>1006</v>
      </c>
    </row>
    <row r="37" customFormat="false" ht="30" hidden="false" customHeight="true" outlineLevel="0" collapsed="false">
      <c r="B37" s="22" t="s">
        <v>114</v>
      </c>
      <c r="C37" s="22"/>
      <c r="D37" s="22"/>
      <c r="E37" s="22"/>
      <c r="F37" s="22"/>
      <c r="G37" s="22"/>
      <c r="H37" s="22"/>
      <c r="I37" s="22"/>
      <c r="J37" s="22"/>
      <c r="K37" s="22"/>
    </row>
  </sheetData>
  <mergeCells count="11">
    <mergeCell ref="B2:K2"/>
    <mergeCell ref="B6:K6"/>
    <mergeCell ref="B11:K11"/>
    <mergeCell ref="B17:K17"/>
    <mergeCell ref="B19:K19"/>
    <mergeCell ref="B22:K22"/>
    <mergeCell ref="B27:K27"/>
    <mergeCell ref="B29:K29"/>
    <mergeCell ref="B31:K31"/>
    <mergeCell ref="B35:G35"/>
    <mergeCell ref="B37:K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2026-06-13T00:52:11Z</dcterms:created>
  <dc:creator>openpyxl</dc:creator>
  <dc:description/>
  <dc:language>en-US</dc:language>
  <cp:lastModifiedBy/>
  <dcterms:modified xsi:type="dcterms:W3CDTF">2026-06-13T00:52:11Z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